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2746CF2E-3B5A-4E06-8D91-A6120005B3DF}" xr6:coauthVersionLast="47" xr6:coauthVersionMax="47" xr10:uidLastSave="{00000000-0000-0000-0000-000000000000}"/>
  <bookViews>
    <workbookView xWindow="45" yWindow="-16320" windowWidth="29040" windowHeight="15720" firstSheet="1" activeTab="2" xr2:uid="{00000000-000D-0000-FFFF-FFFF00000000}"/>
  </bookViews>
  <sheets>
    <sheet name="1-资金流转关系图" sheetId="1" state="hidden" r:id="rId1"/>
    <sheet name="2-合同台账" sheetId="2" r:id="rId2"/>
    <sheet name="3-提款明细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0" i="4" l="1"/>
  <c r="Q7" i="2"/>
  <c r="O7" i="2"/>
  <c r="P7" i="2"/>
  <c r="A1" i="4"/>
  <c r="A32" i="4"/>
  <c r="M5" i="2"/>
  <c r="O4" i="2"/>
  <c r="P4" i="2" s="1"/>
  <c r="N6" i="2"/>
  <c r="N9" i="2" s="1"/>
  <c r="Q4" i="2" l="1"/>
  <c r="M6" i="2"/>
  <c r="M8" i="2"/>
  <c r="A73" i="4"/>
  <c r="A18" i="4"/>
  <c r="J8" i="2"/>
  <c r="J6" i="2"/>
  <c r="J4" i="2"/>
  <c r="F9" i="2"/>
  <c r="B2" i="2"/>
  <c r="K5" i="2" l="1"/>
  <c r="K7" i="2"/>
  <c r="O6" i="2"/>
  <c r="P6" i="2"/>
  <c r="Q6" i="2"/>
  <c r="O8" i="2"/>
  <c r="O5" i="2"/>
  <c r="M9" i="2"/>
  <c r="Q9" i="2" s="1"/>
  <c r="K4" i="2"/>
  <c r="K8" i="2"/>
  <c r="K6" i="2"/>
  <c r="O9" i="2" l="1"/>
  <c r="Q5" i="2"/>
  <c r="P5" i="2"/>
  <c r="P8" i="2"/>
  <c r="Q8" i="2"/>
  <c r="P9" i="2" l="1"/>
</calcChain>
</file>

<file path=xl/sharedStrings.xml><?xml version="1.0" encoding="utf-8"?>
<sst xmlns="http://schemas.openxmlformats.org/spreadsheetml/2006/main" count="323" uniqueCount="123">
  <si>
    <t>集团内部借款 · 资金流转关系图</t>
  </si>
  <si>
    <t>层级</t>
  </si>
  <si>
    <t>主体名称</t>
  </si>
  <si>
    <t>注册地</t>
  </si>
  <si>
    <t>角色定位</t>
  </si>
  <si>
    <t>控股方</t>
  </si>
  <si>
    <t>持股比例</t>
  </si>
  <si>
    <t>注册号/税号</t>
  </si>
  <si>
    <t>法定代表人</t>
  </si>
  <si>
    <t>备注</t>
  </si>
  <si>
    <t>HUAFENG GROUP ENTERPRISE LIMITED（华峰集团）</t>
  </si>
  <si>
    <t>中国·香港</t>
  </si>
  <si>
    <t>FANG HUAYU（方华玉）</t>
  </si>
  <si>
    <t>HUATEX VIETNAM CO., LTD（华特越南）</t>
  </si>
  <si>
    <t>越南·同奈</t>
  </si>
  <si>
    <t>子公司</t>
  </si>
  <si>
    <t>华峰集团</t>
  </si>
  <si>
    <t>100%</t>
  </si>
  <si>
    <t>税号 3603695597</t>
  </si>
  <si>
    <t>注册资本 51,364,560 USD，已缴足</t>
  </si>
  <si>
    <t>CÔNG TY TNHH SẢN PHẨM THỂ THAO HUA XING（华星运动用品）</t>
  </si>
  <si>
    <t>税号 3901240813</t>
  </si>
  <si>
    <t>WANG LIGUO（王立国）</t>
  </si>
  <si>
    <t>WELLNAME PTE. LTD.</t>
  </si>
  <si>
    <t>新加坡</t>
  </si>
  <si>
    <t>202313189C（ACRA）</t>
  </si>
  <si>
    <t>HUANG CHAOGUI（黄朝贵）</t>
  </si>
  <si>
    <t>Future Textile 的直接股东</t>
  </si>
  <si>
    <t>FUTURE TEXTILE VIETNAM CO., LTD</t>
  </si>
  <si>
    <t>越南·西宁</t>
  </si>
  <si>
    <t>Wellname Pte. Ltd.</t>
  </si>
  <si>
    <t>税号 3901352789</t>
  </si>
  <si>
    <t>注册资本 617.86B VND（≈23.91M USD）</t>
  </si>
  <si>
    <t>序号</t>
  </si>
  <si>
    <t>贷方（资金流出方）</t>
  </si>
  <si>
    <t>借方（资金流入方）</t>
  </si>
  <si>
    <t>流转层级</t>
  </si>
  <si>
    <t>币种</t>
  </si>
  <si>
    <t>合同额度</t>
  </si>
  <si>
    <t>年利率</t>
  </si>
  <si>
    <t>期限</t>
  </si>
  <si>
    <t>合同编号 / 状态</t>
  </si>
  <si>
    <t>HUAFENG 华峰集团（香港）</t>
  </si>
  <si>
    <t>HUATEX 华特越南（同奈）</t>
  </si>
  <si>
    <t>母公司 → 子公司</t>
  </si>
  <si>
    <t>USD</t>
  </si>
  <si>
    <t>10,000,000</t>
  </si>
  <si>
    <t>4%/年</t>
  </si>
  <si>
    <t>WELLNAME Pte. Ltd.（新加坡）</t>
  </si>
  <si>
    <t>FUTURE TEXTILE VIETNAM（西宁）</t>
  </si>
  <si>
    <t>30,000,000</t>
  </si>
  <si>
    <t>365天</t>
  </si>
  <si>
    <t>YNHT2026.07/WELL-FUTURE（2026-07-30 签署，4份正本）</t>
  </si>
  <si>
    <t>集团内部借款 · 合同台账（到期提醒 + 额度使用提醒）</t>
  </si>
  <si>
    <t>合同编号</t>
  </si>
  <si>
    <t>期限(天)</t>
  </si>
  <si>
    <t>签署日</t>
  </si>
  <si>
    <t>到期日</t>
  </si>
  <si>
    <t>剩余天数</t>
  </si>
  <si>
    <t>到期状态</t>
  </si>
  <si>
    <t>已提款金额</t>
  </si>
  <si>
    <t>剩余可用额度</t>
  </si>
  <si>
    <t>额度使用率</t>
  </si>
  <si>
    <t>FCT条款</t>
  </si>
  <si>
    <t>转股条款</t>
  </si>
  <si>
    <t>FCT 全部由借方承担</t>
  </si>
  <si>
    <t>本金+已产生利息一并转股</t>
  </si>
  <si>
    <t>Wellname Pte. Ltd.（新加坡）</t>
  </si>
  <si>
    <t>4份正本，各持2份</t>
  </si>
  <si>
    <t>合计敞口</t>
  </si>
  <si>
    <t>母公司</t>
    <phoneticPr fontId="6" type="noConversion"/>
  </si>
  <si>
    <t>方华珊</t>
    <phoneticPr fontId="6" type="noConversion"/>
  </si>
  <si>
    <t>方华玉</t>
    <phoneticPr fontId="6" type="noConversion"/>
  </si>
  <si>
    <t>子公司</t>
    <phoneticPr fontId="6" type="noConversion"/>
  </si>
  <si>
    <t>CHEN HUI（陈慧）</t>
    <phoneticPr fontId="6" type="noConversion"/>
  </si>
  <si>
    <t>FANG HUASHAN（方华珊）</t>
    <phoneticPr fontId="6" type="noConversion"/>
  </si>
  <si>
    <t>集团控股平台；</t>
    <phoneticPr fontId="6" type="noConversion"/>
  </si>
  <si>
    <t>集团成员</t>
    <phoneticPr fontId="6" type="noConversion"/>
  </si>
  <si>
    <t>68898950（HK ）</t>
    <phoneticPr fontId="6" type="noConversion"/>
  </si>
  <si>
    <t>▍一、集团股权架构</t>
    <phoneticPr fontId="6" type="noConversion"/>
  </si>
  <si>
    <t>Suceeded Mark</t>
    <phoneticPr fontId="6" type="noConversion"/>
  </si>
  <si>
    <t>母公司 → 子公司</t>
    <phoneticPr fontId="6" type="noConversion"/>
  </si>
  <si>
    <t>365天</t>
    <phoneticPr fontId="6" type="noConversion"/>
  </si>
  <si>
    <t>08.2025/HDV-HF-HT（旧，8/31到期）→ 08.2026/HDV-HF-HT（新）</t>
    <phoneticPr fontId="6" type="noConversion"/>
  </si>
  <si>
    <t>▍二、借款资金流向</t>
    <phoneticPr fontId="6" type="noConversion"/>
  </si>
  <si>
    <t>2份正本，各持1份</t>
    <phoneticPr fontId="6" type="noConversion"/>
  </si>
  <si>
    <t>HuaFeng Group Enterprise Limited华峰企业集团（香港）</t>
    <phoneticPr fontId="6" type="noConversion"/>
  </si>
  <si>
    <t>出借方</t>
    <phoneticPr fontId="6" type="noConversion"/>
  </si>
  <si>
    <t>借款方</t>
    <phoneticPr fontId="6" type="noConversion"/>
  </si>
  <si>
    <t>08.2026/HDV-HF-HT</t>
    <phoneticPr fontId="6" type="noConversion"/>
  </si>
  <si>
    <t>YNHT2025.11/WILL-FUTURE</t>
    <phoneticPr fontId="6" type="noConversion"/>
  </si>
  <si>
    <t>Huatex（同奈）</t>
    <phoneticPr fontId="6" type="noConversion"/>
  </si>
  <si>
    <t>Future Textile（西宁）</t>
    <phoneticPr fontId="6" type="noConversion"/>
  </si>
  <si>
    <t>USD</t>
    <phoneticPr fontId="6" type="noConversion"/>
  </si>
  <si>
    <r>
      <rPr>
        <b/>
        <sz val="10"/>
        <color rgb="FFFFFFFF"/>
        <rFont val="Segoe UI Symbol"/>
        <family val="2"/>
      </rPr>
      <t>🟢</t>
    </r>
    <r>
      <rPr>
        <b/>
        <sz val="10"/>
        <color rgb="FFFFFFFF"/>
        <rFont val="微软雅黑"/>
        <family val="2"/>
        <charset val="134"/>
      </rPr>
      <t xml:space="preserve"> 正常</t>
    </r>
    <phoneticPr fontId="6" type="noConversion"/>
  </si>
  <si>
    <t>3份正本，各持1份，剩余1份给银行</t>
    <phoneticPr fontId="6" type="noConversion"/>
  </si>
  <si>
    <t>无</t>
    <phoneticPr fontId="6" type="noConversion"/>
  </si>
  <si>
    <t>本金可转股</t>
    <phoneticPr fontId="6" type="noConversion"/>
  </si>
  <si>
    <t>Jinguangli International Limited</t>
    <phoneticPr fontId="6" type="noConversion"/>
  </si>
  <si>
    <t>Khoa Dung（西宁）</t>
    <phoneticPr fontId="6" type="noConversion"/>
  </si>
  <si>
    <t>04.2026/HDV-JGLI-KD</t>
    <phoneticPr fontId="6" type="noConversion"/>
  </si>
  <si>
    <t>到期提醒：</t>
    <phoneticPr fontId="6" type="noConversion"/>
  </si>
  <si>
    <r>
      <t xml:space="preserve">  </t>
    </r>
    <r>
      <rPr>
        <sz val="11"/>
        <color theme="1"/>
        <rFont val="微软雅黑"/>
        <family val="1"/>
        <charset val="134"/>
      </rPr>
      <t>额度使用：</t>
    </r>
    <phoneticPr fontId="6" type="noConversion"/>
  </si>
  <si>
    <r>
      <rPr>
        <sz val="10"/>
        <color rgb="FF595959"/>
        <rFont val="微软雅黑"/>
        <family val="2"/>
        <charset val="134"/>
      </rPr>
      <t>编制日期：</t>
    </r>
    <phoneticPr fontId="6" type="noConversion"/>
  </si>
  <si>
    <t>YNHT2026.07/WELL-FUTURE</t>
    <phoneticPr fontId="6" type="noConversion"/>
  </si>
  <si>
    <t>资金组织</t>
  </si>
  <si>
    <t>账户所属组织</t>
  </si>
  <si>
    <t>登账日期</t>
  </si>
  <si>
    <t>对方名称</t>
  </si>
  <si>
    <t>支出金额</t>
  </si>
  <si>
    <t>VIET NAM FUTURE TEXTILE COMPANY LIMITED</t>
  </si>
  <si>
    <t>美元</t>
  </si>
  <si>
    <t xml:space="preserve"> 2026/05/14</t>
    <phoneticPr fontId="6" type="noConversion"/>
  </si>
  <si>
    <t>JINGUANGLI INTERNATIONAL LIMITED</t>
    <phoneticPr fontId="6" type="noConversion"/>
  </si>
  <si>
    <t>KHOA DUNG</t>
    <phoneticPr fontId="6" type="noConversion"/>
  </si>
  <si>
    <t>美元</t>
    <phoneticPr fontId="6" type="noConversion"/>
  </si>
  <si>
    <t xml:space="preserve"> 2026/05/18</t>
    <phoneticPr fontId="6" type="noConversion"/>
  </si>
  <si>
    <t>已转股金额</t>
    <phoneticPr fontId="6" type="noConversion"/>
  </si>
  <si>
    <t>借款敞口</t>
    <phoneticPr fontId="6" type="noConversion"/>
  </si>
  <si>
    <t>是否循环额度</t>
    <phoneticPr fontId="6" type="noConversion"/>
  </si>
  <si>
    <t>是</t>
    <phoneticPr fontId="6" type="noConversion"/>
  </si>
  <si>
    <t>否</t>
    <phoneticPr fontId="6" type="noConversion"/>
  </si>
  <si>
    <t>YNHT2026.10/WELL-FUTURE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</si>
</sst>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76" formatCode="_(* #,##0_);_(* \(#,##0\);_(* &quot;-&quot;??_);_(@_)"/>
    <numFmt numFmtId="177" formatCode="_(* #,##0.0_);_(* \(#,##0.0\);_(* &quot;-&quot;??_);_(@_)"/>
  </numFmts>
  <fonts count="15" x14ac:knownFonts="1">
    <font>
      <sz val="11"/>
      <color theme="1"/>
      <name val="宋体"/>
      <family val="2"/>
      <scheme val="minor"/>
    </font>
    <font>
      <b/>
      <sz val="14"/>
      <color rgb="FFFFFFFF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b/>
      <sz val="10"/>
      <color rgb="FFFFFFFF"/>
      <name val="Segoe UI Symbol"/>
      <family val="2"/>
    </font>
    <font>
      <sz val="11"/>
      <color theme="1"/>
      <name val="Times New Roman"/>
      <family val="2"/>
    </font>
    <font>
      <sz val="11"/>
      <color theme="1"/>
      <name val="微软雅黑"/>
      <family val="1"/>
      <charset val="134"/>
    </font>
    <font>
      <sz val="10"/>
      <color rgb="FF595959"/>
      <name val="Times New Roman"/>
      <family val="1"/>
    </font>
    <font>
      <sz val="10"/>
      <color rgb="FF595959"/>
      <name val="微软雅黑"/>
      <family val="2"/>
      <charset val="134"/>
    </font>
    <font>
      <sz val="11"/>
      <color theme="1"/>
      <name val="宋体"/>
      <family val="1"/>
      <charset val="134"/>
    </font>
    <font>
      <b/>
      <sz val="11"/>
      <color theme="1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C8A"/>
      </patternFill>
    </fill>
    <fill>
      <patternFill patternType="solid">
        <fgColor rgb="FFF2F2F2"/>
      </patternFill>
    </fill>
    <fill>
      <patternFill patternType="solid">
        <fgColor rgb="FFC00000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rgb="FF538135"/>
      </patternFill>
    </fill>
    <fill>
      <patternFill patternType="solid">
        <fgColor theme="3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4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7" fillId="0" borderId="0" xfId="0" applyFont="1"/>
    <xf numFmtId="0" fontId="3" fillId="3" borderId="4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4" fontId="7" fillId="0" borderId="3" xfId="0" applyNumberFormat="1" applyFont="1" applyBorder="1"/>
    <xf numFmtId="0" fontId="9" fillId="0" borderId="0" xfId="0" applyFont="1"/>
    <xf numFmtId="0" fontId="10" fillId="0" borderId="0" xfId="0" applyFont="1"/>
    <xf numFmtId="0" fontId="11" fillId="0" borderId="3" xfId="0" applyFont="1" applyBorder="1" applyAlignment="1">
      <alignment vertical="center"/>
    </xf>
    <xf numFmtId="176" fontId="0" fillId="0" borderId="0" xfId="1" applyNumberFormat="1" applyFont="1" applyAlignment="1"/>
    <xf numFmtId="176" fontId="4" fillId="4" borderId="1" xfId="1" applyNumberFormat="1" applyFont="1" applyFill="1" applyBorder="1" applyAlignment="1">
      <alignment horizontal="center" vertical="center" wrapText="1"/>
    </xf>
    <xf numFmtId="176" fontId="4" fillId="4" borderId="1" xfId="0" applyNumberFormat="1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right" vertical="center" wrapText="1"/>
    </xf>
    <xf numFmtId="176" fontId="2" fillId="0" borderId="1" xfId="1" applyNumberFormat="1" applyFont="1" applyBorder="1" applyAlignment="1">
      <alignment horizontal="center" vertical="center" wrapText="1"/>
    </xf>
    <xf numFmtId="176" fontId="2" fillId="4" borderId="1" xfId="1" applyNumberFormat="1" applyFont="1" applyFill="1" applyBorder="1" applyAlignment="1">
      <alignment horizontal="center" vertical="center" wrapText="1"/>
    </xf>
    <xf numFmtId="9" fontId="7" fillId="4" borderId="1" xfId="2" applyFont="1" applyFill="1" applyBorder="1" applyAlignment="1">
      <alignment vertical="center" wrapText="1"/>
    </xf>
    <xf numFmtId="14" fontId="0" fillId="0" borderId="0" xfId="0" applyNumberFormat="1"/>
    <xf numFmtId="177" fontId="4" fillId="4" borderId="1" xfId="1" applyNumberFormat="1" applyFont="1" applyFill="1" applyBorder="1" applyAlignment="1">
      <alignment horizontal="center" vertical="center" wrapText="1"/>
    </xf>
    <xf numFmtId="9" fontId="13" fillId="4" borderId="1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0" xfId="0" applyBorder="1"/>
    <xf numFmtId="14" fontId="0" fillId="0" borderId="0" xfId="0" applyNumberFormat="1" applyBorder="1"/>
    <xf numFmtId="176" fontId="0" fillId="0" borderId="9" xfId="1" applyNumberFormat="1" applyFont="1" applyBorder="1" applyAlignment="1"/>
    <xf numFmtId="0" fontId="0" fillId="0" borderId="10" xfId="0" applyBorder="1"/>
    <xf numFmtId="0" fontId="0" fillId="0" borderId="11" xfId="0" applyBorder="1"/>
    <xf numFmtId="14" fontId="0" fillId="0" borderId="11" xfId="0" applyNumberFormat="1" applyBorder="1"/>
    <xf numFmtId="176" fontId="0" fillId="0" borderId="12" xfId="1" applyNumberFormat="1" applyFont="1" applyBorder="1" applyAlignment="1"/>
    <xf numFmtId="0" fontId="14" fillId="0" borderId="0" xfId="0" applyFont="1"/>
    <xf numFmtId="0" fontId="0" fillId="9" borderId="5" xfId="0" applyFill="1" applyBorder="1"/>
    <xf numFmtId="0" fontId="0" fillId="9" borderId="6" xfId="0" applyFill="1" applyBorder="1"/>
    <xf numFmtId="14" fontId="0" fillId="9" borderId="6" xfId="0" applyNumberFormat="1" applyFill="1" applyBorder="1"/>
    <xf numFmtId="176" fontId="0" fillId="9" borderId="7" xfId="1" applyNumberFormat="1" applyFont="1" applyFill="1" applyBorder="1" applyAlignme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showGridLines="0" workbookViewId="0">
      <pane ySplit="4" topLeftCell="A5" activePane="bottomLeft" state="frozen"/>
      <selection pane="bottomLeft" activeCell="H15" sqref="H15"/>
    </sheetView>
  </sheetViews>
  <sheetFormatPr defaultRowHeight="14" x14ac:dyDescent="0.25"/>
  <cols>
    <col min="1" max="1" width="7" customWidth="1"/>
    <col min="2" max="3" width="30" customWidth="1"/>
    <col min="4" max="4" width="18" customWidth="1"/>
    <col min="5" max="5" width="9" customWidth="1"/>
    <col min="6" max="6" width="16" customWidth="1"/>
    <col min="7" max="7" width="25.36328125" customWidth="1"/>
    <col min="8" max="8" width="27.6328125" customWidth="1"/>
    <col min="9" max="9" width="34" customWidth="1"/>
  </cols>
  <sheetData>
    <row r="1" spans="1:9" ht="30" customHeight="1" x14ac:dyDescent="0.25">
      <c r="A1" s="34" t="s">
        <v>0</v>
      </c>
      <c r="B1" s="32"/>
      <c r="C1" s="32"/>
      <c r="D1" s="32"/>
      <c r="E1" s="32"/>
      <c r="F1" s="32"/>
      <c r="G1" s="32"/>
      <c r="H1" s="32"/>
      <c r="I1" s="32"/>
    </row>
    <row r="3" spans="1:9" ht="20" customHeight="1" x14ac:dyDescent="0.25">
      <c r="A3" s="33" t="s">
        <v>79</v>
      </c>
      <c r="B3" s="32"/>
      <c r="C3" s="32"/>
      <c r="D3" s="32"/>
      <c r="E3" s="32"/>
      <c r="F3" s="32"/>
      <c r="G3" s="32"/>
      <c r="H3" s="32"/>
      <c r="I3" s="32"/>
    </row>
    <row r="4" spans="1:9" ht="22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30" customHeight="1" x14ac:dyDescent="0.25">
      <c r="A5" s="2">
        <v>1</v>
      </c>
      <c r="B5" s="3" t="s">
        <v>10</v>
      </c>
      <c r="C5" s="4" t="s">
        <v>11</v>
      </c>
      <c r="D5" s="5" t="s">
        <v>70</v>
      </c>
      <c r="E5" s="4" t="s">
        <v>72</v>
      </c>
      <c r="F5" s="13">
        <v>1</v>
      </c>
      <c r="G5" s="4" t="s">
        <v>78</v>
      </c>
      <c r="H5" s="4" t="s">
        <v>12</v>
      </c>
      <c r="I5" s="6" t="s">
        <v>76</v>
      </c>
    </row>
    <row r="6" spans="1:9" ht="30" customHeight="1" x14ac:dyDescent="0.25">
      <c r="A6" s="2">
        <v>2</v>
      </c>
      <c r="B6" s="3" t="s">
        <v>13</v>
      </c>
      <c r="C6" s="4" t="s">
        <v>14</v>
      </c>
      <c r="D6" s="7" t="s">
        <v>15</v>
      </c>
      <c r="E6" s="4" t="s">
        <v>16</v>
      </c>
      <c r="F6" s="4" t="s">
        <v>17</v>
      </c>
      <c r="G6" s="4" t="s">
        <v>18</v>
      </c>
      <c r="H6" s="4" t="s">
        <v>74</v>
      </c>
      <c r="I6" s="6" t="s">
        <v>19</v>
      </c>
    </row>
    <row r="7" spans="1:9" ht="30" customHeight="1" x14ac:dyDescent="0.25">
      <c r="A7" s="2">
        <v>1</v>
      </c>
      <c r="B7" s="3" t="s">
        <v>23</v>
      </c>
      <c r="C7" s="4" t="s">
        <v>24</v>
      </c>
      <c r="D7" s="5" t="s">
        <v>70</v>
      </c>
      <c r="E7" s="4" t="s">
        <v>71</v>
      </c>
      <c r="F7" s="13">
        <v>1</v>
      </c>
      <c r="G7" s="4" t="s">
        <v>25</v>
      </c>
      <c r="H7" s="4" t="s">
        <v>75</v>
      </c>
      <c r="I7" s="6" t="s">
        <v>27</v>
      </c>
    </row>
    <row r="8" spans="1:9" ht="30" customHeight="1" x14ac:dyDescent="0.25">
      <c r="A8" s="2">
        <v>2</v>
      </c>
      <c r="B8" s="3" t="s">
        <v>28</v>
      </c>
      <c r="C8" s="4" t="s">
        <v>29</v>
      </c>
      <c r="D8" s="7" t="s">
        <v>73</v>
      </c>
      <c r="E8" s="4" t="s">
        <v>30</v>
      </c>
      <c r="F8" s="4" t="s">
        <v>17</v>
      </c>
      <c r="G8" s="4" t="s">
        <v>31</v>
      </c>
      <c r="H8" s="4" t="s">
        <v>26</v>
      </c>
      <c r="I8" s="6" t="s">
        <v>32</v>
      </c>
    </row>
    <row r="9" spans="1:9" ht="30" customHeight="1" x14ac:dyDescent="0.25">
      <c r="A9" s="2">
        <v>1</v>
      </c>
      <c r="B9" s="3" t="s">
        <v>80</v>
      </c>
      <c r="C9" s="4"/>
      <c r="D9" s="5" t="s">
        <v>70</v>
      </c>
      <c r="E9" s="4"/>
      <c r="F9" s="4"/>
      <c r="G9" s="4"/>
      <c r="H9" s="4"/>
      <c r="I9" s="6"/>
    </row>
    <row r="10" spans="1:9" ht="51" customHeight="1" x14ac:dyDescent="0.25">
      <c r="A10" s="2">
        <v>2</v>
      </c>
      <c r="B10" s="3" t="s">
        <v>20</v>
      </c>
      <c r="C10" s="4" t="s">
        <v>14</v>
      </c>
      <c r="D10" s="7" t="s">
        <v>15</v>
      </c>
      <c r="E10" s="4" t="s">
        <v>80</v>
      </c>
      <c r="F10" s="13">
        <v>1</v>
      </c>
      <c r="G10" s="4" t="s">
        <v>21</v>
      </c>
      <c r="H10" s="4" t="s">
        <v>22</v>
      </c>
      <c r="I10" s="6" t="s">
        <v>77</v>
      </c>
    </row>
    <row r="13" spans="1:9" ht="20" customHeight="1" x14ac:dyDescent="0.25">
      <c r="A13" s="33" t="s">
        <v>84</v>
      </c>
      <c r="B13" s="32"/>
      <c r="C13" s="32"/>
      <c r="D13" s="32"/>
      <c r="E13" s="32"/>
      <c r="F13" s="32"/>
      <c r="G13" s="32"/>
      <c r="H13" s="32"/>
      <c r="I13" s="32"/>
    </row>
    <row r="14" spans="1:9" ht="22" customHeight="1" x14ac:dyDescent="0.25">
      <c r="A14" s="1" t="s">
        <v>33</v>
      </c>
      <c r="B14" s="1" t="s">
        <v>34</v>
      </c>
      <c r="C14" s="1" t="s">
        <v>35</v>
      </c>
      <c r="D14" s="1" t="s">
        <v>36</v>
      </c>
      <c r="E14" s="1" t="s">
        <v>37</v>
      </c>
      <c r="F14" s="1" t="s">
        <v>38</v>
      </c>
      <c r="G14" s="1" t="s">
        <v>39</v>
      </c>
      <c r="H14" s="1" t="s">
        <v>40</v>
      </c>
      <c r="I14" s="1" t="s">
        <v>41</v>
      </c>
    </row>
    <row r="15" spans="1:9" ht="28" customHeight="1" x14ac:dyDescent="0.25">
      <c r="A15" s="4">
        <v>1</v>
      </c>
      <c r="B15" s="8" t="s">
        <v>42</v>
      </c>
      <c r="C15" s="9" t="s">
        <v>43</v>
      </c>
      <c r="D15" s="5" t="s">
        <v>44</v>
      </c>
      <c r="E15" s="4" t="s">
        <v>45</v>
      </c>
      <c r="F15" s="10" t="s">
        <v>46</v>
      </c>
      <c r="G15" s="4" t="s">
        <v>47</v>
      </c>
      <c r="H15" s="4" t="s">
        <v>82</v>
      </c>
      <c r="I15" s="6" t="s">
        <v>83</v>
      </c>
    </row>
    <row r="16" spans="1:9" ht="28" customHeight="1" x14ac:dyDescent="0.25">
      <c r="A16" s="4">
        <v>2</v>
      </c>
      <c r="B16" s="8" t="s">
        <v>48</v>
      </c>
      <c r="C16" s="9" t="s">
        <v>49</v>
      </c>
      <c r="D16" s="5" t="s">
        <v>81</v>
      </c>
      <c r="E16" s="4" t="s">
        <v>45</v>
      </c>
      <c r="F16" s="10" t="s">
        <v>50</v>
      </c>
      <c r="G16" s="4" t="s">
        <v>47</v>
      </c>
      <c r="H16" s="4" t="s">
        <v>51</v>
      </c>
      <c r="I16" s="6" t="s">
        <v>52</v>
      </c>
    </row>
    <row r="18" spans="1:9" ht="18" customHeight="1" x14ac:dyDescent="0.25">
      <c r="A18" s="31"/>
      <c r="B18" s="32"/>
      <c r="C18" s="32"/>
      <c r="D18" s="32"/>
      <c r="E18" s="32"/>
      <c r="F18" s="32"/>
      <c r="G18" s="32"/>
      <c r="H18" s="32"/>
      <c r="I18" s="32"/>
    </row>
  </sheetData>
  <mergeCells count="4">
    <mergeCell ref="A18:I18"/>
    <mergeCell ref="A13:I13"/>
    <mergeCell ref="A1:I1"/>
    <mergeCell ref="A3:I3"/>
  </mergeCells>
  <phoneticPr fontId="6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"/>
  <sheetViews>
    <sheetView showGridLines="0" zoomScaleNormal="100" workbookViewId="0">
      <pane ySplit="3" topLeftCell="A4" activePane="bottomLeft" state="frozen"/>
      <selection pane="bottomLeft" activeCell="F7" sqref="F7"/>
    </sheetView>
  </sheetViews>
  <sheetFormatPr defaultRowHeight="14" x14ac:dyDescent="0.25"/>
  <cols>
    <col min="1" max="1" width="8.36328125" customWidth="1"/>
    <col min="2" max="2" width="22" customWidth="1"/>
    <col min="3" max="3" width="26.36328125" customWidth="1"/>
    <col min="4" max="4" width="24" customWidth="1"/>
    <col min="5" max="5" width="7" customWidth="1"/>
    <col min="6" max="6" width="14" customWidth="1"/>
    <col min="7" max="7" width="8" customWidth="1"/>
    <col min="8" max="8" width="9" customWidth="1"/>
    <col min="9" max="10" width="12" customWidth="1"/>
    <col min="11" max="11" width="9" customWidth="1"/>
    <col min="12" max="12" width="14.08984375" customWidth="1"/>
    <col min="13" max="13" width="17.26953125" bestFit="1" customWidth="1"/>
    <col min="14" max="15" width="17.26953125" customWidth="1"/>
    <col min="16" max="16" width="17.26953125" bestFit="1" customWidth="1"/>
    <col min="17" max="17" width="11" customWidth="1"/>
    <col min="18" max="18" width="8.6328125" customWidth="1"/>
    <col min="19" max="19" width="18" customWidth="1"/>
    <col min="20" max="20" width="20" customWidth="1"/>
    <col min="21" max="21" width="26" customWidth="1"/>
  </cols>
  <sheetData>
    <row r="1" spans="1:21" ht="30" customHeight="1" x14ac:dyDescent="0.25">
      <c r="A1" s="34" t="s">
        <v>53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</row>
    <row r="2" spans="1:21" s="14" customFormat="1" ht="18" customHeight="1" x14ac:dyDescent="0.45">
      <c r="A2" s="20" t="s">
        <v>103</v>
      </c>
      <c r="B2" s="17">
        <f ca="1">TODAY()</f>
        <v>46317</v>
      </c>
      <c r="C2" s="18"/>
      <c r="L2" s="19" t="s">
        <v>101</v>
      </c>
      <c r="Q2" s="14" t="s">
        <v>102</v>
      </c>
    </row>
    <row r="3" spans="1:21" ht="30" customHeight="1" x14ac:dyDescent="0.25">
      <c r="A3" s="15" t="s">
        <v>33</v>
      </c>
      <c r="B3" s="15" t="s">
        <v>54</v>
      </c>
      <c r="C3" s="1" t="s">
        <v>87</v>
      </c>
      <c r="D3" s="1" t="s">
        <v>88</v>
      </c>
      <c r="E3" s="1" t="s">
        <v>37</v>
      </c>
      <c r="F3" s="1" t="s">
        <v>38</v>
      </c>
      <c r="G3" s="1" t="s">
        <v>39</v>
      </c>
      <c r="H3" s="1" t="s">
        <v>55</v>
      </c>
      <c r="I3" s="1" t="s">
        <v>56</v>
      </c>
      <c r="J3" s="1" t="s">
        <v>57</v>
      </c>
      <c r="K3" s="1" t="s">
        <v>58</v>
      </c>
      <c r="L3" s="1" t="s">
        <v>59</v>
      </c>
      <c r="M3" s="1" t="s">
        <v>60</v>
      </c>
      <c r="N3" s="1" t="s">
        <v>117</v>
      </c>
      <c r="O3" s="1" t="s">
        <v>118</v>
      </c>
      <c r="P3" s="1" t="s">
        <v>61</v>
      </c>
      <c r="Q3" s="1" t="s">
        <v>62</v>
      </c>
      <c r="R3" s="1" t="s">
        <v>119</v>
      </c>
      <c r="S3" s="1" t="s">
        <v>63</v>
      </c>
      <c r="T3" s="1" t="s">
        <v>64</v>
      </c>
      <c r="U3" s="1" t="s">
        <v>9</v>
      </c>
    </row>
    <row r="4" spans="1:21" ht="42" customHeight="1" x14ac:dyDescent="0.25">
      <c r="A4" s="4">
        <v>1</v>
      </c>
      <c r="B4" s="4" t="s">
        <v>89</v>
      </c>
      <c r="C4" s="6" t="s">
        <v>86</v>
      </c>
      <c r="D4" s="6" t="s">
        <v>91</v>
      </c>
      <c r="E4" s="4" t="s">
        <v>45</v>
      </c>
      <c r="F4" s="25">
        <v>10000000</v>
      </c>
      <c r="G4" s="4" t="s">
        <v>47</v>
      </c>
      <c r="H4" s="4">
        <v>365</v>
      </c>
      <c r="I4" s="16">
        <v>46265</v>
      </c>
      <c r="J4" s="16">
        <f>I4+365</f>
        <v>46630</v>
      </c>
      <c r="K4" s="4">
        <f ca="1">J4-B2</f>
        <v>313</v>
      </c>
      <c r="L4" s="11" t="s">
        <v>94</v>
      </c>
      <c r="M4" s="2"/>
      <c r="N4" s="2"/>
      <c r="O4" s="29">
        <f>M4-N4</f>
        <v>0</v>
      </c>
      <c r="P4" s="23">
        <f t="shared" ref="P4:P5" si="0">IF(R4="是",F4-O4,F4-M4)</f>
        <v>10000000</v>
      </c>
      <c r="Q4" s="27">
        <f t="shared" ref="Q4:Q5" si="1">IF(R4="是",O4/F4,M4/F4)</f>
        <v>0</v>
      </c>
      <c r="R4" s="30" t="s">
        <v>120</v>
      </c>
      <c r="S4" s="4" t="s">
        <v>65</v>
      </c>
      <c r="T4" s="4" t="s">
        <v>66</v>
      </c>
      <c r="U4" s="4" t="s">
        <v>85</v>
      </c>
    </row>
    <row r="5" spans="1:21" ht="32" customHeight="1" x14ac:dyDescent="0.25">
      <c r="A5" s="4">
        <v>2</v>
      </c>
      <c r="B5" s="4" t="s">
        <v>104</v>
      </c>
      <c r="C5" s="6" t="s">
        <v>67</v>
      </c>
      <c r="D5" s="6" t="s">
        <v>92</v>
      </c>
      <c r="E5" s="4" t="s">
        <v>45</v>
      </c>
      <c r="F5" s="25">
        <v>30000000</v>
      </c>
      <c r="G5" s="4" t="s">
        <v>47</v>
      </c>
      <c r="H5" s="4">
        <v>365</v>
      </c>
      <c r="I5" s="16">
        <v>46233</v>
      </c>
      <c r="J5" s="16">
        <v>46598</v>
      </c>
      <c r="K5" s="4">
        <f ca="1">J5-B2</f>
        <v>281</v>
      </c>
      <c r="L5" s="11" t="s">
        <v>94</v>
      </c>
      <c r="M5" s="22">
        <f>SUM('3-提款明细'!F20:F28)</f>
        <v>27449000</v>
      </c>
      <c r="N5" s="22"/>
      <c r="O5" s="29">
        <f t="shared" ref="O5:O8" si="2">M5-N5</f>
        <v>27449000</v>
      </c>
      <c r="P5" s="23">
        <f t="shared" si="0"/>
        <v>2551000</v>
      </c>
      <c r="Q5" s="27">
        <f t="shared" si="1"/>
        <v>0.91496666666666671</v>
      </c>
      <c r="R5" s="30" t="s">
        <v>120</v>
      </c>
      <c r="S5" s="4" t="s">
        <v>65</v>
      </c>
      <c r="T5" s="4" t="s">
        <v>66</v>
      </c>
      <c r="U5" s="4" t="s">
        <v>68</v>
      </c>
    </row>
    <row r="6" spans="1:21" ht="32" customHeight="1" x14ac:dyDescent="0.25">
      <c r="A6" s="4">
        <v>3</v>
      </c>
      <c r="B6" s="4" t="s">
        <v>90</v>
      </c>
      <c r="C6" s="6" t="s">
        <v>67</v>
      </c>
      <c r="D6" s="6" t="s">
        <v>92</v>
      </c>
      <c r="E6" s="4" t="s">
        <v>93</v>
      </c>
      <c r="F6" s="25">
        <v>20000000</v>
      </c>
      <c r="G6" s="4" t="s">
        <v>47</v>
      </c>
      <c r="H6" s="4">
        <v>365</v>
      </c>
      <c r="I6" s="16">
        <v>45991</v>
      </c>
      <c r="J6" s="16">
        <f>I6+H6</f>
        <v>46356</v>
      </c>
      <c r="K6" s="4">
        <f ca="1">J6-B2</f>
        <v>39</v>
      </c>
      <c r="L6" s="11" t="s">
        <v>94</v>
      </c>
      <c r="M6" s="22">
        <f>SUM('3-提款明细'!F34:F56)</f>
        <v>19770000</v>
      </c>
      <c r="N6" s="22">
        <f>SUM('3-提款明细'!F34:F42)</f>
        <v>11940000</v>
      </c>
      <c r="O6" s="29">
        <f t="shared" si="2"/>
        <v>7830000</v>
      </c>
      <c r="P6" s="23">
        <f>IF(R6="是",F6-O6,F6-M6)</f>
        <v>230000</v>
      </c>
      <c r="Q6" s="27">
        <f>M6/F6</f>
        <v>0.98850000000000005</v>
      </c>
      <c r="R6" s="30" t="s">
        <v>121</v>
      </c>
      <c r="S6" s="4" t="s">
        <v>96</v>
      </c>
      <c r="T6" s="4" t="s">
        <v>97</v>
      </c>
      <c r="U6" s="4" t="s">
        <v>95</v>
      </c>
    </row>
    <row r="7" spans="1:21" ht="32" customHeight="1" x14ac:dyDescent="0.25">
      <c r="A7" s="4">
        <v>4</v>
      </c>
      <c r="B7" s="4" t="s">
        <v>122</v>
      </c>
      <c r="C7" s="6" t="s">
        <v>67</v>
      </c>
      <c r="D7" s="6" t="s">
        <v>92</v>
      </c>
      <c r="E7" s="4" t="s">
        <v>45</v>
      </c>
      <c r="F7" s="25">
        <v>50000000</v>
      </c>
      <c r="G7" s="4" t="s">
        <v>47</v>
      </c>
      <c r="H7" s="4">
        <v>365</v>
      </c>
      <c r="I7" s="16">
        <v>46310</v>
      </c>
      <c r="J7" s="16">
        <v>46675</v>
      </c>
      <c r="K7" s="4">
        <f ca="1">J7-B2</f>
        <v>358</v>
      </c>
      <c r="L7" s="11" t="s">
        <v>94</v>
      </c>
      <c r="M7" s="22"/>
      <c r="N7" s="22"/>
      <c r="O7" s="29">
        <f t="shared" ref="O7" si="3">M7-N7</f>
        <v>0</v>
      </c>
      <c r="P7" s="23">
        <f>IF(R7="是",F7-O7,F7-M7)</f>
        <v>50000000</v>
      </c>
      <c r="Q7" s="27">
        <f>M7/F7</f>
        <v>0</v>
      </c>
      <c r="R7" s="30" t="s">
        <v>121</v>
      </c>
      <c r="S7" s="4" t="s">
        <v>65</v>
      </c>
      <c r="T7" s="4" t="s">
        <v>66</v>
      </c>
      <c r="U7" s="4" t="s">
        <v>68</v>
      </c>
    </row>
    <row r="8" spans="1:21" ht="32" customHeight="1" x14ac:dyDescent="0.25">
      <c r="A8" s="4">
        <v>5</v>
      </c>
      <c r="B8" s="4" t="s">
        <v>100</v>
      </c>
      <c r="C8" s="6" t="s">
        <v>98</v>
      </c>
      <c r="D8" s="6" t="s">
        <v>99</v>
      </c>
      <c r="E8" s="4" t="s">
        <v>45</v>
      </c>
      <c r="F8" s="25">
        <v>20000000</v>
      </c>
      <c r="G8" s="4" t="s">
        <v>47</v>
      </c>
      <c r="H8" s="4">
        <v>360</v>
      </c>
      <c r="I8" s="16">
        <v>46142</v>
      </c>
      <c r="J8" s="16">
        <f>I8+H8</f>
        <v>46502</v>
      </c>
      <c r="K8" s="4">
        <f ca="1">J8-B2</f>
        <v>185</v>
      </c>
      <c r="L8" s="11" t="s">
        <v>94</v>
      </c>
      <c r="M8" s="22">
        <f>SUM('3-提款明细'!F75:F78)</f>
        <v>1650000</v>
      </c>
      <c r="N8" s="22"/>
      <c r="O8" s="29">
        <f t="shared" si="2"/>
        <v>1650000</v>
      </c>
      <c r="P8" s="23">
        <f>IF(R8="是",F8-O8,F8-M8)</f>
        <v>18350000</v>
      </c>
      <c r="Q8" s="27">
        <f>IF(R8="是",O8/F8,M8/F8)</f>
        <v>8.2500000000000004E-2</v>
      </c>
      <c r="R8" s="30" t="s">
        <v>120</v>
      </c>
      <c r="S8" s="4" t="s">
        <v>65</v>
      </c>
      <c r="T8" s="4" t="s">
        <v>66</v>
      </c>
      <c r="U8" s="4" t="s">
        <v>68</v>
      </c>
    </row>
    <row r="9" spans="1:21" ht="22" customHeight="1" x14ac:dyDescent="0.25">
      <c r="A9" s="35" t="s">
        <v>69</v>
      </c>
      <c r="B9" s="32"/>
      <c r="C9" s="32"/>
      <c r="D9" s="32"/>
      <c r="E9" s="32"/>
      <c r="F9" s="26">
        <f>SUM(F4:F8)</f>
        <v>130000000</v>
      </c>
      <c r="G9" s="12"/>
      <c r="H9" s="12"/>
      <c r="I9" s="12"/>
      <c r="J9" s="12"/>
      <c r="K9" s="12"/>
      <c r="L9" s="12"/>
      <c r="M9" s="24">
        <f>SUM(M4:M8)</f>
        <v>48869000</v>
      </c>
      <c r="N9" s="24">
        <f>SUM(N4:N8)</f>
        <v>11940000</v>
      </c>
      <c r="O9" s="24">
        <f>SUM(O4:O8)</f>
        <v>36929000</v>
      </c>
      <c r="P9" s="24">
        <f>SUM(P4:P8)</f>
        <v>81131000</v>
      </c>
      <c r="Q9" s="27">
        <f>M9/F9</f>
        <v>0.3759153846153846</v>
      </c>
      <c r="R9" s="27"/>
      <c r="S9" s="12"/>
      <c r="T9" s="12"/>
      <c r="U9" s="12"/>
    </row>
  </sheetData>
  <mergeCells count="2">
    <mergeCell ref="A9:E9"/>
    <mergeCell ref="A1:U1"/>
  </mergeCells>
  <phoneticPr fontId="6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A5938-CD08-4602-9226-43D9A5FC75FA}">
  <dimension ref="A1:F80"/>
  <sheetViews>
    <sheetView tabSelected="1" workbookViewId="0">
      <selection activeCell="E15" sqref="E15"/>
    </sheetView>
  </sheetViews>
  <sheetFormatPr defaultRowHeight="14" x14ac:dyDescent="0.25"/>
  <cols>
    <col min="1" max="1" width="20.6328125" customWidth="1"/>
    <col min="2" max="2" width="16.08984375" customWidth="1"/>
    <col min="3" max="3" width="17" style="28" customWidth="1"/>
    <col min="4" max="4" width="17.7265625" customWidth="1"/>
    <col min="6" max="6" width="19" style="21" customWidth="1"/>
  </cols>
  <sheetData>
    <row r="1" spans="1:6" x14ac:dyDescent="0.25">
      <c r="A1" s="44" t="str">
        <f>'2-合同台账'!B4</f>
        <v>08.2026/HDV-HF-HT</v>
      </c>
    </row>
    <row r="2" spans="1:6" x14ac:dyDescent="0.25">
      <c r="A2" s="45" t="s">
        <v>105</v>
      </c>
      <c r="B2" s="46" t="s">
        <v>106</v>
      </c>
      <c r="C2" s="47" t="s">
        <v>107</v>
      </c>
      <c r="D2" s="46" t="s">
        <v>108</v>
      </c>
      <c r="E2" s="46" t="s">
        <v>37</v>
      </c>
      <c r="F2" s="48" t="s">
        <v>109</v>
      </c>
    </row>
    <row r="3" spans="1:6" x14ac:dyDescent="0.25">
      <c r="A3" s="36"/>
      <c r="B3" s="37"/>
      <c r="C3" s="38"/>
      <c r="D3" s="37"/>
      <c r="E3" s="37"/>
      <c r="F3" s="39"/>
    </row>
    <row r="4" spans="1:6" x14ac:dyDescent="0.25">
      <c r="A4" s="36"/>
      <c r="B4" s="37"/>
      <c r="C4" s="38"/>
      <c r="D4" s="37"/>
      <c r="E4" s="37"/>
      <c r="F4" s="39"/>
    </row>
    <row r="5" spans="1:6" x14ac:dyDescent="0.25">
      <c r="A5" s="36"/>
      <c r="B5" s="37"/>
      <c r="C5" s="38"/>
      <c r="D5" s="37"/>
      <c r="E5" s="37"/>
      <c r="F5" s="39"/>
    </row>
    <row r="6" spans="1:6" x14ac:dyDescent="0.25">
      <c r="A6" s="36"/>
      <c r="B6" s="37"/>
      <c r="C6" s="38"/>
      <c r="D6" s="37"/>
      <c r="E6" s="37"/>
      <c r="F6" s="39"/>
    </row>
    <row r="7" spans="1:6" x14ac:dyDescent="0.25">
      <c r="A7" s="36"/>
      <c r="B7" s="37"/>
      <c r="C7" s="38"/>
      <c r="D7" s="37"/>
      <c r="E7" s="37"/>
      <c r="F7" s="39"/>
    </row>
    <row r="8" spans="1:6" x14ac:dyDescent="0.25">
      <c r="A8" s="36"/>
      <c r="B8" s="37"/>
      <c r="C8" s="38"/>
      <c r="D8" s="37"/>
      <c r="E8" s="37"/>
      <c r="F8" s="39"/>
    </row>
    <row r="9" spans="1:6" x14ac:dyDescent="0.25">
      <c r="A9" s="36"/>
      <c r="B9" s="37"/>
      <c r="C9" s="38"/>
      <c r="D9" s="37"/>
      <c r="E9" s="37"/>
      <c r="F9" s="39"/>
    </row>
    <row r="10" spans="1:6" x14ac:dyDescent="0.25">
      <c r="A10" s="36"/>
      <c r="B10" s="37"/>
      <c r="C10" s="38"/>
      <c r="D10" s="37"/>
      <c r="E10" s="37"/>
      <c r="F10" s="39"/>
    </row>
    <row r="11" spans="1:6" x14ac:dyDescent="0.25">
      <c r="A11" s="36"/>
      <c r="B11" s="37"/>
      <c r="C11" s="38"/>
      <c r="D11" s="37"/>
      <c r="E11" s="37"/>
      <c r="F11" s="39"/>
    </row>
    <row r="12" spans="1:6" x14ac:dyDescent="0.25">
      <c r="A12" s="36"/>
      <c r="B12" s="37"/>
      <c r="C12" s="38"/>
      <c r="D12" s="37"/>
      <c r="E12" s="37"/>
      <c r="F12" s="39"/>
    </row>
    <row r="13" spans="1:6" x14ac:dyDescent="0.25">
      <c r="A13" s="36"/>
      <c r="B13" s="37"/>
      <c r="C13" s="38"/>
      <c r="D13" s="37"/>
      <c r="E13" s="37"/>
      <c r="F13" s="39"/>
    </row>
    <row r="14" spans="1:6" x14ac:dyDescent="0.25">
      <c r="A14" s="36"/>
      <c r="B14" s="37"/>
      <c r="C14" s="38"/>
      <c r="D14" s="37"/>
      <c r="E14" s="37"/>
      <c r="F14" s="39"/>
    </row>
    <row r="15" spans="1:6" x14ac:dyDescent="0.25">
      <c r="A15" s="40"/>
      <c r="B15" s="41"/>
      <c r="C15" s="42"/>
      <c r="D15" s="41"/>
      <c r="E15" s="41"/>
      <c r="F15" s="43"/>
    </row>
    <row r="18" spans="1:6" x14ac:dyDescent="0.25">
      <c r="A18" s="44" t="str">
        <f>'2-合同台账'!B5</f>
        <v>YNHT2026.07/WELL-FUTURE</v>
      </c>
    </row>
    <row r="19" spans="1:6" x14ac:dyDescent="0.25">
      <c r="A19" s="45" t="s">
        <v>105</v>
      </c>
      <c r="B19" s="46" t="s">
        <v>106</v>
      </c>
      <c r="C19" s="47" t="s">
        <v>107</v>
      </c>
      <c r="D19" s="46" t="s">
        <v>108</v>
      </c>
      <c r="E19" s="46" t="s">
        <v>37</v>
      </c>
      <c r="F19" s="48" t="s">
        <v>109</v>
      </c>
    </row>
    <row r="20" spans="1:6" x14ac:dyDescent="0.25">
      <c r="A20" s="36" t="s">
        <v>23</v>
      </c>
      <c r="B20" s="37" t="s">
        <v>23</v>
      </c>
      <c r="C20" s="38">
        <v>46261</v>
      </c>
      <c r="D20" s="37" t="s">
        <v>110</v>
      </c>
      <c r="E20" s="37" t="s">
        <v>111</v>
      </c>
      <c r="F20" s="39">
        <v>500000</v>
      </c>
    </row>
    <row r="21" spans="1:6" x14ac:dyDescent="0.25">
      <c r="A21" s="36" t="s">
        <v>23</v>
      </c>
      <c r="B21" s="37" t="s">
        <v>23</v>
      </c>
      <c r="C21" s="38">
        <v>46272</v>
      </c>
      <c r="D21" s="37" t="s">
        <v>110</v>
      </c>
      <c r="E21" s="37" t="s">
        <v>111</v>
      </c>
      <c r="F21" s="39">
        <v>100000</v>
      </c>
    </row>
    <row r="22" spans="1:6" x14ac:dyDescent="0.25">
      <c r="A22" s="36" t="s">
        <v>23</v>
      </c>
      <c r="B22" s="37" t="s">
        <v>23</v>
      </c>
      <c r="C22" s="38">
        <v>46288</v>
      </c>
      <c r="D22" s="37" t="s">
        <v>110</v>
      </c>
      <c r="E22" s="37" t="s">
        <v>111</v>
      </c>
      <c r="F22" s="39">
        <v>200000</v>
      </c>
    </row>
    <row r="23" spans="1:6" x14ac:dyDescent="0.25">
      <c r="A23" s="36" t="s">
        <v>23</v>
      </c>
      <c r="B23" s="37" t="s">
        <v>23</v>
      </c>
      <c r="C23" s="38">
        <v>46293</v>
      </c>
      <c r="D23" s="37" t="s">
        <v>110</v>
      </c>
      <c r="E23" s="37" t="s">
        <v>111</v>
      </c>
      <c r="F23" s="39">
        <v>500000</v>
      </c>
    </row>
    <row r="24" spans="1:6" x14ac:dyDescent="0.25">
      <c r="A24" s="36" t="s">
        <v>23</v>
      </c>
      <c r="B24" s="37" t="s">
        <v>23</v>
      </c>
      <c r="C24" s="38">
        <v>46301</v>
      </c>
      <c r="D24" s="37" t="s">
        <v>110</v>
      </c>
      <c r="E24" s="37" t="s">
        <v>111</v>
      </c>
      <c r="F24" s="39">
        <v>3639000</v>
      </c>
    </row>
    <row r="25" spans="1:6" x14ac:dyDescent="0.25">
      <c r="A25" s="36" t="s">
        <v>23</v>
      </c>
      <c r="B25" s="37" t="s">
        <v>23</v>
      </c>
      <c r="C25" s="38">
        <v>46308</v>
      </c>
      <c r="D25" s="37" t="s">
        <v>110</v>
      </c>
      <c r="E25" s="37" t="s">
        <v>111</v>
      </c>
      <c r="F25" s="39">
        <v>5500000</v>
      </c>
    </row>
    <row r="26" spans="1:6" x14ac:dyDescent="0.25">
      <c r="A26" s="36" t="s">
        <v>23</v>
      </c>
      <c r="B26" s="37" t="s">
        <v>23</v>
      </c>
      <c r="C26" s="38">
        <v>46311</v>
      </c>
      <c r="D26" s="37" t="s">
        <v>110</v>
      </c>
      <c r="E26" s="37" t="s">
        <v>111</v>
      </c>
      <c r="F26" s="39">
        <v>6000000</v>
      </c>
    </row>
    <row r="27" spans="1:6" x14ac:dyDescent="0.25">
      <c r="A27" s="36" t="s">
        <v>23</v>
      </c>
      <c r="B27" s="37" t="s">
        <v>23</v>
      </c>
      <c r="C27" s="38">
        <v>46311</v>
      </c>
      <c r="D27" s="37" t="s">
        <v>110</v>
      </c>
      <c r="E27" s="37" t="s">
        <v>111</v>
      </c>
      <c r="F27" s="39">
        <v>3500000</v>
      </c>
    </row>
    <row r="28" spans="1:6" x14ac:dyDescent="0.25">
      <c r="A28" s="40" t="s">
        <v>23</v>
      </c>
      <c r="B28" s="41" t="s">
        <v>23</v>
      </c>
      <c r="C28" s="42">
        <v>46316</v>
      </c>
      <c r="D28" s="41"/>
      <c r="E28" s="41" t="s">
        <v>111</v>
      </c>
      <c r="F28" s="43">
        <v>7510000</v>
      </c>
    </row>
    <row r="32" spans="1:6" x14ac:dyDescent="0.25">
      <c r="A32" s="44" t="str">
        <f>'2-合同台账'!B6</f>
        <v>YNHT2025.11/WILL-FUTURE</v>
      </c>
    </row>
    <row r="33" spans="1:6" x14ac:dyDescent="0.25">
      <c r="A33" s="45" t="s">
        <v>105</v>
      </c>
      <c r="B33" s="46" t="s">
        <v>106</v>
      </c>
      <c r="C33" s="47" t="s">
        <v>107</v>
      </c>
      <c r="D33" s="46" t="s">
        <v>108</v>
      </c>
      <c r="E33" s="46" t="s">
        <v>37</v>
      </c>
      <c r="F33" s="48" t="s">
        <v>109</v>
      </c>
    </row>
    <row r="34" spans="1:6" x14ac:dyDescent="0.25">
      <c r="A34" s="36" t="s">
        <v>110</v>
      </c>
      <c r="B34" s="37" t="s">
        <v>110</v>
      </c>
      <c r="C34" s="38">
        <v>45978</v>
      </c>
      <c r="D34" s="37" t="s">
        <v>23</v>
      </c>
      <c r="E34" s="37" t="s">
        <v>111</v>
      </c>
      <c r="F34" s="39">
        <v>2840000</v>
      </c>
    </row>
    <row r="35" spans="1:6" x14ac:dyDescent="0.25">
      <c r="A35" s="36" t="s">
        <v>110</v>
      </c>
      <c r="B35" s="37" t="s">
        <v>110</v>
      </c>
      <c r="C35" s="38">
        <v>45978</v>
      </c>
      <c r="D35" s="37" t="s">
        <v>23</v>
      </c>
      <c r="E35" s="37" t="s">
        <v>111</v>
      </c>
      <c r="F35" s="39">
        <v>1000000</v>
      </c>
    </row>
    <row r="36" spans="1:6" x14ac:dyDescent="0.25">
      <c r="A36" s="36" t="s">
        <v>110</v>
      </c>
      <c r="B36" s="37" t="s">
        <v>110</v>
      </c>
      <c r="C36" s="38">
        <v>45985</v>
      </c>
      <c r="D36" s="37" t="s">
        <v>23</v>
      </c>
      <c r="E36" s="37" t="s">
        <v>111</v>
      </c>
      <c r="F36" s="39">
        <v>70000</v>
      </c>
    </row>
    <row r="37" spans="1:6" x14ac:dyDescent="0.25">
      <c r="A37" s="36" t="s">
        <v>110</v>
      </c>
      <c r="B37" s="37" t="s">
        <v>110</v>
      </c>
      <c r="C37" s="38">
        <v>45989</v>
      </c>
      <c r="D37" s="37" t="s">
        <v>23</v>
      </c>
      <c r="E37" s="37" t="s">
        <v>111</v>
      </c>
      <c r="F37" s="39">
        <v>500000</v>
      </c>
    </row>
    <row r="38" spans="1:6" x14ac:dyDescent="0.25">
      <c r="A38" s="36" t="s">
        <v>110</v>
      </c>
      <c r="B38" s="37" t="s">
        <v>110</v>
      </c>
      <c r="C38" s="38">
        <v>45993</v>
      </c>
      <c r="D38" s="37" t="s">
        <v>23</v>
      </c>
      <c r="E38" s="37" t="s">
        <v>111</v>
      </c>
      <c r="F38" s="39">
        <v>500000</v>
      </c>
    </row>
    <row r="39" spans="1:6" x14ac:dyDescent="0.25">
      <c r="A39" s="36" t="s">
        <v>110</v>
      </c>
      <c r="B39" s="37" t="s">
        <v>110</v>
      </c>
      <c r="C39" s="38">
        <v>46007</v>
      </c>
      <c r="D39" s="37" t="s">
        <v>23</v>
      </c>
      <c r="E39" s="37" t="s">
        <v>111</v>
      </c>
      <c r="F39" s="39">
        <v>450000</v>
      </c>
    </row>
    <row r="40" spans="1:6" x14ac:dyDescent="0.25">
      <c r="A40" s="36" t="s">
        <v>110</v>
      </c>
      <c r="B40" s="37" t="s">
        <v>110</v>
      </c>
      <c r="C40" s="38">
        <v>46014</v>
      </c>
      <c r="D40" s="37" t="s">
        <v>23</v>
      </c>
      <c r="E40" s="37" t="s">
        <v>111</v>
      </c>
      <c r="F40" s="39">
        <v>500000</v>
      </c>
    </row>
    <row r="41" spans="1:6" x14ac:dyDescent="0.25">
      <c r="A41" s="36" t="s">
        <v>110</v>
      </c>
      <c r="B41" s="37" t="s">
        <v>110</v>
      </c>
      <c r="C41" s="38">
        <v>46028</v>
      </c>
      <c r="D41" s="37" t="s">
        <v>23</v>
      </c>
      <c r="E41" s="37" t="s">
        <v>111</v>
      </c>
      <c r="F41" s="39">
        <v>1890000</v>
      </c>
    </row>
    <row r="42" spans="1:6" x14ac:dyDescent="0.25">
      <c r="A42" s="36" t="s">
        <v>110</v>
      </c>
      <c r="B42" s="37" t="s">
        <v>110</v>
      </c>
      <c r="C42" s="38">
        <v>46029</v>
      </c>
      <c r="D42" s="37" t="s">
        <v>23</v>
      </c>
      <c r="E42" s="37" t="s">
        <v>111</v>
      </c>
      <c r="F42" s="39">
        <v>4190000</v>
      </c>
    </row>
    <row r="43" spans="1:6" x14ac:dyDescent="0.25">
      <c r="A43" s="36" t="s">
        <v>110</v>
      </c>
      <c r="B43" s="37" t="s">
        <v>110</v>
      </c>
      <c r="C43" s="38">
        <v>46098</v>
      </c>
      <c r="D43" s="37" t="s">
        <v>23</v>
      </c>
      <c r="E43" s="37" t="s">
        <v>111</v>
      </c>
      <c r="F43" s="39">
        <v>100000</v>
      </c>
    </row>
    <row r="44" spans="1:6" x14ac:dyDescent="0.25">
      <c r="A44" s="36" t="s">
        <v>110</v>
      </c>
      <c r="B44" s="37" t="s">
        <v>110</v>
      </c>
      <c r="C44" s="38">
        <v>46121</v>
      </c>
      <c r="D44" s="37" t="s">
        <v>23</v>
      </c>
      <c r="E44" s="37" t="s">
        <v>111</v>
      </c>
      <c r="F44" s="39">
        <v>1000000</v>
      </c>
    </row>
    <row r="45" spans="1:6" x14ac:dyDescent="0.25">
      <c r="A45" s="36" t="s">
        <v>110</v>
      </c>
      <c r="B45" s="37" t="s">
        <v>110</v>
      </c>
      <c r="C45" s="38">
        <v>46129</v>
      </c>
      <c r="D45" s="37" t="s">
        <v>23</v>
      </c>
      <c r="E45" s="37" t="s">
        <v>111</v>
      </c>
      <c r="F45" s="39">
        <v>450000</v>
      </c>
    </row>
    <row r="46" spans="1:6" x14ac:dyDescent="0.25">
      <c r="A46" s="36" t="s">
        <v>110</v>
      </c>
      <c r="B46" s="37" t="s">
        <v>110</v>
      </c>
      <c r="C46" s="38">
        <v>46129</v>
      </c>
      <c r="D46" s="37" t="s">
        <v>23</v>
      </c>
      <c r="E46" s="37" t="s">
        <v>111</v>
      </c>
      <c r="F46" s="39">
        <v>50000</v>
      </c>
    </row>
    <row r="47" spans="1:6" x14ac:dyDescent="0.25">
      <c r="A47" s="36" t="s">
        <v>110</v>
      </c>
      <c r="B47" s="37" t="s">
        <v>110</v>
      </c>
      <c r="C47" s="38">
        <v>46135</v>
      </c>
      <c r="D47" s="37" t="s">
        <v>23</v>
      </c>
      <c r="E47" s="37" t="s">
        <v>111</v>
      </c>
      <c r="F47" s="39">
        <v>500000</v>
      </c>
    </row>
    <row r="48" spans="1:6" x14ac:dyDescent="0.25">
      <c r="A48" s="36" t="s">
        <v>110</v>
      </c>
      <c r="B48" s="37" t="s">
        <v>110</v>
      </c>
      <c r="C48" s="38">
        <v>46139</v>
      </c>
      <c r="D48" s="37" t="s">
        <v>23</v>
      </c>
      <c r="E48" s="37" t="s">
        <v>111</v>
      </c>
      <c r="F48" s="39">
        <v>500000</v>
      </c>
    </row>
    <row r="49" spans="1:6" x14ac:dyDescent="0.25">
      <c r="A49" s="36" t="s">
        <v>110</v>
      </c>
      <c r="B49" s="37" t="s">
        <v>110</v>
      </c>
      <c r="C49" s="38">
        <v>46140</v>
      </c>
      <c r="D49" s="37" t="s">
        <v>23</v>
      </c>
      <c r="E49" s="37" t="s">
        <v>111</v>
      </c>
      <c r="F49" s="39">
        <v>1000000</v>
      </c>
    </row>
    <row r="50" spans="1:6" x14ac:dyDescent="0.25">
      <c r="A50" s="36" t="s">
        <v>110</v>
      </c>
      <c r="B50" s="37" t="s">
        <v>110</v>
      </c>
      <c r="C50" s="38">
        <v>46148</v>
      </c>
      <c r="D50" s="37" t="s">
        <v>23</v>
      </c>
      <c r="E50" s="37" t="s">
        <v>111</v>
      </c>
      <c r="F50" s="39">
        <v>800000</v>
      </c>
    </row>
    <row r="51" spans="1:6" x14ac:dyDescent="0.25">
      <c r="A51" s="36" t="s">
        <v>110</v>
      </c>
      <c r="B51" s="37" t="s">
        <v>110</v>
      </c>
      <c r="C51" s="38">
        <v>46196</v>
      </c>
      <c r="D51" s="37" t="s">
        <v>23</v>
      </c>
      <c r="E51" s="37" t="s">
        <v>111</v>
      </c>
      <c r="F51" s="39">
        <v>500000</v>
      </c>
    </row>
    <row r="52" spans="1:6" x14ac:dyDescent="0.25">
      <c r="A52" s="36" t="s">
        <v>110</v>
      </c>
      <c r="B52" s="37" t="s">
        <v>110</v>
      </c>
      <c r="C52" s="38">
        <v>46198</v>
      </c>
      <c r="D52" s="37" t="s">
        <v>23</v>
      </c>
      <c r="E52" s="37" t="s">
        <v>111</v>
      </c>
      <c r="F52" s="39">
        <v>450000</v>
      </c>
    </row>
    <row r="53" spans="1:6" x14ac:dyDescent="0.25">
      <c r="A53" s="36" t="s">
        <v>110</v>
      </c>
      <c r="B53" s="37" t="s">
        <v>110</v>
      </c>
      <c r="C53" s="38">
        <v>46209</v>
      </c>
      <c r="D53" s="37" t="s">
        <v>23</v>
      </c>
      <c r="E53" s="37" t="s">
        <v>111</v>
      </c>
      <c r="F53" s="39">
        <v>1000000</v>
      </c>
    </row>
    <row r="54" spans="1:6" x14ac:dyDescent="0.25">
      <c r="A54" s="36" t="s">
        <v>110</v>
      </c>
      <c r="B54" s="37" t="s">
        <v>110</v>
      </c>
      <c r="C54" s="38">
        <v>46226</v>
      </c>
      <c r="D54" s="37" t="s">
        <v>23</v>
      </c>
      <c r="E54" s="37" t="s">
        <v>111</v>
      </c>
      <c r="F54" s="39">
        <v>400000</v>
      </c>
    </row>
    <row r="55" spans="1:6" x14ac:dyDescent="0.25">
      <c r="A55" s="36" t="s">
        <v>110</v>
      </c>
      <c r="B55" s="37" t="s">
        <v>110</v>
      </c>
      <c r="C55" s="38">
        <v>46237</v>
      </c>
      <c r="D55" s="37" t="s">
        <v>23</v>
      </c>
      <c r="E55" s="37" t="s">
        <v>111</v>
      </c>
      <c r="F55" s="39">
        <v>680000</v>
      </c>
    </row>
    <row r="56" spans="1:6" x14ac:dyDescent="0.25">
      <c r="A56" s="40" t="s">
        <v>110</v>
      </c>
      <c r="B56" s="41" t="s">
        <v>110</v>
      </c>
      <c r="C56" s="42">
        <v>46246</v>
      </c>
      <c r="D56" s="41" t="s">
        <v>23</v>
      </c>
      <c r="E56" s="41" t="s">
        <v>111</v>
      </c>
      <c r="F56" s="43">
        <v>400000</v>
      </c>
    </row>
    <row r="60" spans="1:6" x14ac:dyDescent="0.25">
      <c r="A60" s="44" t="str">
        <f>'2-合同台账'!B7</f>
        <v>YNHT2026.10/WELL-FUTURE</v>
      </c>
    </row>
    <row r="61" spans="1:6" x14ac:dyDescent="0.25">
      <c r="A61" s="45" t="s">
        <v>105</v>
      </c>
      <c r="B61" s="46" t="s">
        <v>106</v>
      </c>
      <c r="C61" s="47" t="s">
        <v>107</v>
      </c>
      <c r="D61" s="46" t="s">
        <v>108</v>
      </c>
      <c r="E61" s="46" t="s">
        <v>37</v>
      </c>
      <c r="F61" s="48" t="s">
        <v>109</v>
      </c>
    </row>
    <row r="62" spans="1:6" x14ac:dyDescent="0.25">
      <c r="A62" s="36"/>
      <c r="B62" s="37"/>
      <c r="C62" s="38"/>
      <c r="D62" s="37"/>
      <c r="E62" s="37"/>
      <c r="F62" s="39"/>
    </row>
    <row r="63" spans="1:6" x14ac:dyDescent="0.25">
      <c r="A63" s="36"/>
      <c r="B63" s="37"/>
      <c r="C63" s="38"/>
      <c r="D63" s="37"/>
      <c r="E63" s="37"/>
      <c r="F63" s="39"/>
    </row>
    <row r="64" spans="1:6" x14ac:dyDescent="0.25">
      <c r="A64" s="36"/>
      <c r="B64" s="37"/>
      <c r="C64" s="38"/>
      <c r="D64" s="37"/>
      <c r="E64" s="37"/>
      <c r="F64" s="39"/>
    </row>
    <row r="65" spans="1:6" x14ac:dyDescent="0.25">
      <c r="A65" s="36"/>
      <c r="B65" s="37"/>
      <c r="C65" s="38"/>
      <c r="D65" s="37"/>
      <c r="E65" s="37"/>
      <c r="F65" s="39"/>
    </row>
    <row r="66" spans="1:6" x14ac:dyDescent="0.25">
      <c r="A66" s="40"/>
      <c r="B66" s="41"/>
      <c r="C66" s="42"/>
      <c r="D66" s="41"/>
      <c r="E66" s="41"/>
      <c r="F66" s="43"/>
    </row>
    <row r="73" spans="1:6" x14ac:dyDescent="0.25">
      <c r="A73" s="44" t="str">
        <f>'2-合同台账'!B8</f>
        <v>04.2026/HDV-JGLI-KD</v>
      </c>
    </row>
    <row r="74" spans="1:6" x14ac:dyDescent="0.25">
      <c r="A74" s="45" t="s">
        <v>105</v>
      </c>
      <c r="B74" s="46" t="s">
        <v>106</v>
      </c>
      <c r="C74" s="47" t="s">
        <v>107</v>
      </c>
      <c r="D74" s="46" t="s">
        <v>108</v>
      </c>
      <c r="E74" s="46" t="s">
        <v>37</v>
      </c>
      <c r="F74" s="48" t="s">
        <v>109</v>
      </c>
    </row>
    <row r="75" spans="1:6" x14ac:dyDescent="0.25">
      <c r="A75" s="36" t="s">
        <v>113</v>
      </c>
      <c r="B75" s="37"/>
      <c r="C75" s="38" t="s">
        <v>112</v>
      </c>
      <c r="D75" s="37" t="s">
        <v>114</v>
      </c>
      <c r="E75" s="37" t="s">
        <v>115</v>
      </c>
      <c r="F75" s="39">
        <v>50000</v>
      </c>
    </row>
    <row r="76" spans="1:6" x14ac:dyDescent="0.25">
      <c r="A76" s="36" t="s">
        <v>113</v>
      </c>
      <c r="B76" s="37"/>
      <c r="C76" s="38" t="s">
        <v>116</v>
      </c>
      <c r="D76" s="37" t="s">
        <v>114</v>
      </c>
      <c r="E76" s="37" t="s">
        <v>115</v>
      </c>
      <c r="F76" s="39">
        <v>300000</v>
      </c>
    </row>
    <row r="77" spans="1:6" x14ac:dyDescent="0.25">
      <c r="A77" s="36" t="s">
        <v>113</v>
      </c>
      <c r="B77" s="37"/>
      <c r="C77" s="38">
        <v>46170</v>
      </c>
      <c r="D77" s="37" t="s">
        <v>114</v>
      </c>
      <c r="E77" s="37" t="s">
        <v>115</v>
      </c>
      <c r="F77" s="39">
        <v>600000</v>
      </c>
    </row>
    <row r="78" spans="1:6" x14ac:dyDescent="0.25">
      <c r="A78" s="36" t="s">
        <v>113</v>
      </c>
      <c r="B78" s="37"/>
      <c r="C78" s="38">
        <v>46312</v>
      </c>
      <c r="D78" s="37" t="s">
        <v>114</v>
      </c>
      <c r="E78" s="37" t="s">
        <v>115</v>
      </c>
      <c r="F78" s="39">
        <v>700000</v>
      </c>
    </row>
    <row r="79" spans="1:6" x14ac:dyDescent="0.25">
      <c r="A79" s="36"/>
      <c r="B79" s="37"/>
      <c r="C79" s="38"/>
      <c r="D79" s="37"/>
      <c r="E79" s="37"/>
      <c r="F79" s="39"/>
    </row>
    <row r="80" spans="1:6" x14ac:dyDescent="0.25">
      <c r="A80" s="40"/>
      <c r="B80" s="41"/>
      <c r="C80" s="42"/>
      <c r="D80" s="41"/>
      <c r="E80" s="41"/>
      <c r="F80" s="43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1-资金流转关系图</vt:lpstr>
      <vt:lpstr>2-合同台账</vt:lpstr>
      <vt:lpstr>3-提款明细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2026-08-21T01:45:30Z</dcterms:created>
  <dcterms:modified xsi:type="dcterms:W3CDTF">2026-10-22T06:38:56Z</dcterms:modified>
</cp:coreProperties>
</file>