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E11FE7B-F57C-4DA8-A43D-EB3E97036E1C}" xr6:coauthVersionLast="47" xr6:coauthVersionMax="47" xr10:uidLastSave="{00000000-0000-0000-0000-000000000000}"/>
  <bookViews>
    <workbookView xWindow="45" yWindow="-16320" windowWidth="29040" windowHeight="15720" activeTab="2" xr2:uid="{00000000-000D-0000-FFFF-FFFF00000000}"/>
  </bookViews>
  <sheets>
    <sheet name="①工程立项申请单" sheetId="1" r:id="rId1"/>
    <sheet name="②OA附件要素规范" sheetId="2" r:id="rId2"/>
    <sheet name="③工程验收单" sheetId="3" r:id="rId3"/>
    <sheet name="④工程进度请款审核表" sheetId="4" r:id="rId4"/>
    <sheet name="⑤修理修缮" sheetId="5" r:id="rId5"/>
    <sheet name="⑥工程变更签证单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9" i="2" l="1"/>
  <c r="D61" i="2"/>
  <c r="D56" i="2"/>
</calcChain>
</file>

<file path=xl/sharedStrings.xml><?xml version="1.0" encoding="utf-8"?>
<sst xmlns="http://schemas.openxmlformats.org/spreadsheetml/2006/main" count="355" uniqueCount="216">
  <si>
    <t>表单① · 工程立项申请单（Đề nghị phê duyệt dự án công trình）</t>
  </si>
  <si>
    <t>立项号</t>
  </si>
  <si>
    <t>申请日期</t>
  </si>
  <si>
    <t>申请人</t>
  </si>
  <si>
    <t>职务</t>
  </si>
  <si>
    <t>部门</t>
  </si>
  <si>
    <t>工程名称</t>
  </si>
  <si>
    <t>立项类型</t>
  </si>
  <si>
    <t>工程内容/范围</t>
  </si>
  <si>
    <t>预算金额（含税）</t>
  </si>
  <si>
    <t>开工日期</t>
  </si>
  <si>
    <t>完工日期</t>
  </si>
  <si>
    <t>是否形成独立固定资产</t>
  </si>
  <si>
    <t>立项依据/必要性</t>
  </si>
  <si>
    <t>审批签字</t>
  </si>
  <si>
    <t>签字日期</t>
  </si>
  <si>
    <t>分管领导</t>
  </si>
  <si>
    <t>事业部总经理</t>
  </si>
  <si>
    <t>表单② · OA 请款流程 · 附件要素规范（v0.2）</t>
  </si>
  <si>
    <t>现状：工程请款走 OA 流程，请款单据作为 OA 附件上传，本规范控制「附件的填写要素」。</t>
  </si>
  <si>
    <t>依据样本：内部「Đề Nghị Thanh Toán 请款单」· 施工方海润「ĐỀ NGHỊ THANH TOÁN」· 越南 VAT 发票 hóa đơn GTGT（1C26THU）。</t>
  </si>
  <si>
    <t>2.1 OA 附件清单（必传）</t>
  </si>
  <si>
    <t>附件</t>
  </si>
  <si>
    <t>来源</t>
  </si>
  <si>
    <t>必传</t>
  </si>
  <si>
    <t>控制点</t>
  </si>
  <si>
    <t>我司内部请款单（Đề Nghị Thanh Toán）</t>
  </si>
  <si>
    <t>✅</t>
  </si>
  <si>
    <t>🔴</t>
  </si>
  <si>
    <t>施工单位请款单（施工方 Đề nghị thanh toán）</t>
  </si>
  <si>
    <t>施工方</t>
  </si>
  <si>
    <t>越南 VAT 发票（hóa đơn GTGT）或付款通知书</t>
  </si>
  <si>
    <t>🟠 预付款除外</t>
  </si>
  <si>
    <t>工程进度审核表</t>
  </si>
  <si>
    <t>内部</t>
  </si>
  <si>
    <t>✅ 进度款/结算款</t>
  </si>
  <si>
    <t>合同（第一次请款，后续请款请关联流程）</t>
  </si>
  <si>
    <t>工程部</t>
  </si>
  <si>
    <t>验收报告（决算后）</t>
  </si>
  <si>
    <t>工程部+使用部门</t>
  </si>
  <si>
    <t>🟠</t>
  </si>
  <si>
    <t>🔴 转固依据</t>
  </si>
  <si>
    <t>决算单</t>
  </si>
  <si>
    <t>财务</t>
  </si>
  <si>
    <t>🟠 结算款</t>
  </si>
  <si>
    <t>2.2 附件① 我司内部请款单 · 必填要素</t>
  </si>
  <si>
    <t>要素（越/中）</t>
  </si>
  <si>
    <t>类型</t>
  </si>
  <si>
    <t>必填</t>
  </si>
  <si>
    <t>说明 / 取值 / 勾稽</t>
  </si>
  <si>
    <t>姓名 Họ tên</t>
  </si>
  <si>
    <t>文本</t>
  </si>
  <si>
    <t>✅🔴</t>
  </si>
  <si>
    <t>与 OA 登录人一致</t>
  </si>
  <si>
    <t>部门 Bộ phận</t>
  </si>
  <si>
    <t>工程部/设备部</t>
  </si>
  <si>
    <t>收款公司 Công ty</t>
  </si>
  <si>
    <t>与施工方请款单、合同一致</t>
  </si>
  <si>
    <t>收款人 Tên người nhận</t>
  </si>
  <si>
    <t>项目名称</t>
  </si>
  <si>
    <t>与合同、验收单一致</t>
  </si>
  <si>
    <t>合同号 Số hợp đồng</t>
  </si>
  <si>
    <t>引用合同编号</t>
  </si>
  <si>
    <t>期数 / 请款类型</t>
  </si>
  <si>
    <t>下拉</t>
  </si>
  <si>
    <t>预付款/进度款/结算款/尾款/质保金</t>
  </si>
  <si>
    <t>完成百分比</t>
  </si>
  <si>
    <t>百分比</t>
  </si>
  <si>
    <t>在建工程（241）进度依据</t>
  </si>
  <si>
    <t>发票号码 Số hóa đơn</t>
  </si>
  <si>
    <t>已到必填</t>
  </si>
  <si>
    <t>发票金额</t>
  </si>
  <si>
    <t>金额</t>
  </si>
  <si>
    <t>与合同、验收、决算「三处一致」</t>
  </si>
  <si>
    <t>请款金额</t>
  </si>
  <si>
    <t>与发票金额不一定一致，请说明</t>
  </si>
  <si>
    <t>签字-申请人 Người đề nghị</t>
  </si>
  <si>
    <t>签字</t>
  </si>
  <si>
    <t>签字-分管领导 Quản Lý Giám Đốc</t>
  </si>
  <si>
    <t>签字-事业部总经理</t>
  </si>
  <si>
    <t>2.3 附件② 施工单位请款单 · 必含要素</t>
  </si>
  <si>
    <t>必含</t>
  </si>
  <si>
    <t>勾稽要点</t>
  </si>
  <si>
    <t>施工方公司抬头</t>
  </si>
  <si>
    <t>与合同、发票一致</t>
  </si>
  <si>
    <t>编号 Số</t>
  </si>
  <si>
    <t>格式如 HR-DNTT/YNHT20251012/02</t>
  </si>
  <si>
    <t>日期</t>
  </si>
  <si>
    <t>标题「ĐỀ NGHỊ THANH TOÁN / 请款单」</t>
  </si>
  <si>
    <t>事项 V/v + 合同号 + 期数</t>
  </si>
  <si>
    <t>与我司合同号勾稽</t>
  </si>
  <si>
    <t>敬致 Kính gửi（我司全称）</t>
  </si>
  <si>
    <t>收件人 Ông + 职务 Chức vụ</t>
  </si>
  <si>
    <t>收件人地址</t>
  </si>
  <si>
    <t>正文：申请请款金额 + 合同条款依据</t>
  </si>
  <si>
    <t>金额与发票一致</t>
  </si>
  <si>
    <t>大写金额 Bằng chữ</t>
  </si>
  <si>
    <t>收款-户名 Tên tài khoản</t>
  </si>
  <si>
    <t>与发票销方一致</t>
  </si>
  <si>
    <t>收款-账号 Tài khoản số</t>
  </si>
  <si>
    <t>收款-银行 + 分行</t>
  </si>
  <si>
    <t>SWIFT code</t>
  </si>
  <si>
    <t>跨境</t>
  </si>
  <si>
    <t>收文处 Nơi nhận</t>
  </si>
  <si>
    <t>2.4 附件③ 越南 VAT 发票（hóa đơn GTGT）· 必含要素</t>
  </si>
  <si>
    <t>发票类型「HÓA ĐƠN GIÁ TRỊ GIA TĂNG / VAT INVOICE」</t>
  </si>
  <si>
    <t>发票代码 Ký hiệu (Serial No)</t>
  </si>
  <si>
    <t>税务验证</t>
  </si>
  <si>
    <t>发票号 Số (No.)</t>
  </si>
  <si>
    <t>开票日期 Ngày</t>
  </si>
  <si>
    <t>期间归属</t>
  </si>
  <si>
    <t>销方 Đơn vị bán hàng（Seller）</t>
  </si>
  <si>
    <t>销方 Mã số thuế（Tax code）</t>
  </si>
  <si>
    <t>11 位</t>
  </si>
  <si>
    <t>销方 Địa chỉ</t>
  </si>
  <si>
    <t>销方 Điện thoại / Email</t>
  </si>
  <si>
    <t>销方 Số tài khoản（A/C No）</t>
  </si>
  <si>
    <t>购方 Tên đơn vị（Company）</t>
  </si>
  <si>
    <t>购方 Mã số thuế</t>
  </si>
  <si>
    <t>购方 Địa chỉ</t>
  </si>
  <si>
    <t>购方 Hình thức thanh toán（Payment method）</t>
  </si>
  <si>
    <t>商品行：STT / Tên hàng hóa / Đơn vị tính / Số lượng / Đơn giá / Thành tiền</t>
  </si>
  <si>
    <t>表格</t>
  </si>
  <si>
    <t>至少 1 行；金额含税前</t>
  </si>
  <si>
    <t>合计 Cộng tiền hàng（Total before tax）</t>
  </si>
  <si>
    <t>税率 Thuế suất GTGT（VAT Rate）</t>
  </si>
  <si>
    <t>当前 8% / 10%</t>
  </si>
  <si>
    <t>税额 Tiền thuế GTGT（VAT amount）</t>
  </si>
  <si>
    <t>总价 Tổng cộng tiền thanh toán（Total, tax incl.）</t>
  </si>
  <si>
    <t>大写金额 Số tiền viết bằng chữ（In words）</t>
  </si>
  <si>
    <t>购方签字 Người mua hàng（Buyer）</t>
  </si>
  <si>
    <t>销方签字 Người bán hàng（Seller）</t>
  </si>
  <si>
    <t>Mã số tra cứu（验证码）</t>
  </si>
  <si>
    <t>电子发票必填，可验证</t>
  </si>
  <si>
    <t>2.6 三处一致 / 四处一致勾稽（🔴）</t>
  </si>
  <si>
    <t>勾稽</t>
  </si>
  <si>
    <t>字段</t>
  </si>
  <si>
    <t>关系</t>
  </si>
  <si>
    <t>发票金额 ↔ 决算金额</t>
  </si>
  <si>
    <t>发票 vs 决算单</t>
  </si>
  <si>
    <t>必须一致</t>
  </si>
  <si>
    <t>请款金额 ≤ 合同金额</t>
  </si>
  <si>
    <t>我司请款单 vs 合同累计</t>
  </si>
  <si>
    <t>防超付</t>
  </si>
  <si>
    <t>表单③ · 工程验收单（Biên bản nghiệm thu công trình）</t>
  </si>
  <si>
    <t>标注：✅ 必填 ｜ 🟠 条件必填 ｜ 🔴 控制点（缺失不得入账/付款）</t>
  </si>
  <si>
    <t>验收单号</t>
  </si>
  <si>
    <t>验收日期</t>
  </si>
  <si>
    <t>立项号🔴</t>
  </si>
  <si>
    <t>合同编号</t>
  </si>
  <si>
    <t>验收类型</t>
  </si>
  <si>
    <t>验收内容/工程量</t>
  </si>
  <si>
    <t>结算金额（验收金额）🔴</t>
  </si>
  <si>
    <t>技术档案与施工管理资料🔴</t>
  </si>
  <si>
    <t>进场材料/设备试验报告🔴</t>
  </si>
  <si>
    <t>质量意见/未决问题🟠</t>
  </si>
  <si>
    <t>验收结论</t>
  </si>
  <si>
    <t>财务确认</t>
  </si>
  <si>
    <t>现场代表🔴</t>
  </si>
  <si>
    <t>使用部门🔴</t>
  </si>
  <si>
    <t>分管领导🔴</t>
  </si>
  <si>
    <t>华特总经理🔴</t>
  </si>
  <si>
    <t>🔴 缺任一签字不得入账；技术档案 / 试验报告「缺失 / 缺试」不得验收。</t>
  </si>
  <si>
    <t>🔴 结算金额（验收金额）与「合同↔发票↔验收单↔决算单」一致核对。</t>
  </si>
  <si>
    <t>表单④ · 工程进度请款审核表（Bảng đối chiếu khối lượng）</t>
  </si>
  <si>
    <t>GCQK-</t>
  </si>
  <si>
    <t>币别：VND</t>
  </si>
  <si>
    <t>序号</t>
  </si>
  <si>
    <t>项目特征</t>
  </si>
  <si>
    <t>单位</t>
  </si>
  <si>
    <t>计算规则</t>
  </si>
  <si>
    <t>合同-总价</t>
  </si>
  <si>
    <t>工程完工进度</t>
  </si>
  <si>
    <t>审核-综合单价</t>
  </si>
  <si>
    <t>审核-合计</t>
  </si>
  <si>
    <t>核减金额</t>
  </si>
  <si>
    <t>核减原因</t>
  </si>
  <si>
    <t>已付款金额</t>
  </si>
  <si>
    <t>合计</t>
  </si>
  <si>
    <t>—</t>
  </si>
  <si>
    <t>汇率（如涉及）：＿＿＿＿＿＿</t>
  </si>
  <si>
    <t>审核签字</t>
  </si>
  <si>
    <t>工程部经办</t>
  </si>
  <si>
    <t>表单⑤ · 修理修缮申请 / 验收单（Phiếu sửa chữa）</t>
  </si>
  <si>
    <t>申请单号</t>
  </si>
  <si>
    <t>申请部门</t>
  </si>
  <si>
    <t>资产/设备名称</t>
  </si>
  <si>
    <t>固定资产卡片号</t>
  </si>
  <si>
    <t>预估金额</t>
  </si>
  <si>
    <t>实际发生金额</t>
  </si>
  <si>
    <t>发票号</t>
  </si>
  <si>
    <t>修理内容</t>
  </si>
  <si>
    <t>修理后验收结论</t>
  </si>
  <si>
    <t>使用部门</t>
  </si>
  <si>
    <t>表单⑥ · 工程变更/现场签证单</t>
  </si>
  <si>
    <t>签证单号</t>
  </si>
  <si>
    <t>签证日期</t>
  </si>
  <si>
    <t>关联立项号🔴</t>
  </si>
  <si>
    <t>原合同编号🔴</t>
  </si>
  <si>
    <t>原合同工程量🔴</t>
  </si>
  <si>
    <t>变更类型</t>
  </si>
  <si>
    <t>变更原因</t>
  </si>
  <si>
    <t>增/减工程量🔴</t>
  </si>
  <si>
    <t>预计增减金额🔴</t>
  </si>
  <si>
    <t>现场照片🔴</t>
  </si>
  <si>
    <t>提出部门</t>
  </si>
  <si>
    <t>工程负责人</t>
  </si>
  <si>
    <t>使用部门（确认）</t>
  </si>
  <si>
    <t>采购/财务是否参与🟠</t>
  </si>
  <si>
    <t>审批人</t>
  </si>
  <si>
    <t>工程负责人🔴</t>
  </si>
  <si>
    <t>事业部总经理🔴</t>
  </si>
  <si>
    <t>🔴 先变更审批、后施工；紧急情况先处置的，须在 5 个工作日内补签。</t>
  </si>
  <si>
    <t>🔴 无变更/签证依据的新增工程量，不得进入最终结算。</t>
  </si>
  <si>
    <t>🔴 预计增减金额与原合同工程量勾稽；累计变更超出原合同额或立项预算 → 补签补充协议/补预算。</t>
  </si>
  <si>
    <t>🟠 财务抄送（不出审批意见）；财务做金额复核并更新项目总预算提醒。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</si>
</sst>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宋体"/>
      <family val="2"/>
      <scheme val="minor"/>
    </font>
    <font>
      <b/>
      <sz val="14"/>
      <color rgb="FF0F4761"/>
      <name val="宋体"/>
      <family val="3"/>
      <charset val="134"/>
    </font>
    <font>
      <i/>
      <sz val="9"/>
      <color rgb="FF595959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1"/>
      <color rgb="FF0F4761"/>
      <name val="宋体"/>
      <family val="3"/>
      <charset val="134"/>
    </font>
    <font>
      <sz val="9"/>
      <color rgb="FF59595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9"/>
      <name val="宋体"/>
      <family val="3"/>
      <charset val="134"/>
    </font>
    <font>
      <sz val="9"/>
      <color rgb="FF595959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4"/>
      <color rgb="FF0F4761"/>
      <name val="宋体"/>
      <family val="3"/>
      <charset val="134"/>
    </font>
    <font>
      <b/>
      <sz val="14"/>
      <color rgb="FF0F4761"/>
      <name val="宋体"/>
      <family val="3"/>
      <charset val="134"/>
    </font>
    <font>
      <b/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4C94D8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/>
  </cellStyleXfs>
  <cellXfs count="41">
    <xf numFmtId="0" fontId="0" fillId="0" borderId="0" xfId="0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2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Alignment="1">
      <alignment horizontal="center" vertical="center" wrapText="1"/>
    </xf>
    <xf numFmtId="0" fontId="4" fillId="4" borderId="2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" fillId="0" borderId="2" xfId="0" applyFont="1" applyAlignment="1">
      <alignment horizontal="left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" fillId="0" borderId="3" xfId="0" applyFont="1" applyBorder="1" applyAlignment="1">
      <alignment horizontal="center" vertical="center"/>
    </xf>
    <xf numFmtId="0" fontId="2" fillId="0" borderId="2" xfId="0" applyFont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5" fillId="5" borderId="2" xfId="0" applyFont="1" applyFill="1" applyAlignment="1">
      <alignment horizontal="center" vertical="center"/>
    </xf>
    <xf numFmtId="0" fontId="5" fillId="3" borderId="2" xfId="0" applyFont="1" applyFill="1" applyAlignment="1">
      <alignment horizontal="left" vertical="center"/>
    </xf>
    <xf numFmtId="0" fontId="6" fillId="0" borderId="2" xfId="0" applyFont="1" applyAlignment="1">
      <alignment horizontal="left" vertical="center" wrapText="1"/>
    </xf>
    <xf numFmtId="0" fontId="14" fillId="0" borderId="2" xfId="0" applyFont="1" applyAlignment="1">
      <alignment horizontal="left" vertical="center"/>
    </xf>
    <xf numFmtId="0" fontId="11" fillId="0" borderId="2" xfId="0" applyFont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5" fillId="3" borderId="2" xfId="0" applyFont="1" applyFill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zoomScaleNormal="100" workbookViewId="0">
      <selection activeCell="H13" sqref="H13"/>
    </sheetView>
  </sheetViews>
  <sheetFormatPr defaultRowHeight="14" x14ac:dyDescent="0.25"/>
  <cols>
    <col min="1" max="1" width="16.54296875" customWidth="1"/>
    <col min="2" max="2" width="12" customWidth="1"/>
    <col min="3" max="3" width="11.6328125" customWidth="1"/>
    <col min="4" max="4" width="13" customWidth="1"/>
    <col min="5" max="5" width="15.453125" customWidth="1"/>
    <col min="6" max="6" width="20" customWidth="1"/>
    <col min="7" max="7" width="12" customWidth="1"/>
    <col min="8" max="8" width="24" customWidth="1"/>
    <col min="9" max="9" width="14" customWidth="1"/>
    <col min="10" max="11" width="12" customWidth="1"/>
    <col min="12" max="12" width="16.7265625" customWidth="1"/>
    <col min="13" max="13" width="20" customWidth="1"/>
  </cols>
  <sheetData>
    <row r="1" spans="1:13" ht="22" customHeight="1" x14ac:dyDescent="0.25">
      <c r="A1" s="23" t="s">
        <v>0</v>
      </c>
      <c r="B1" s="24"/>
      <c r="C1" s="24"/>
      <c r="D1" s="24"/>
      <c r="E1" s="24"/>
      <c r="F1" s="24"/>
      <c r="G1" s="24"/>
    </row>
    <row r="2" spans="1:13" ht="16" customHeight="1" x14ac:dyDescent="0.25">
      <c r="A2" s="29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x14ac:dyDescent="0.25">
      <c r="A3" s="10" t="s">
        <v>1</v>
      </c>
      <c r="B3" s="10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</row>
    <row r="4" spans="1:13" ht="32" customHeight="1" x14ac:dyDescent="0.25">
      <c r="A4" s="7"/>
      <c r="B4" s="7"/>
      <c r="C4" s="7"/>
      <c r="D4" s="7"/>
      <c r="E4" s="7"/>
      <c r="F4" s="7"/>
      <c r="G4" s="7"/>
    </row>
    <row r="5" spans="1:13" ht="26" customHeight="1" x14ac:dyDescent="0.25">
      <c r="A5" s="30" t="s">
        <v>8</v>
      </c>
      <c r="B5" s="26"/>
      <c r="C5" s="26"/>
      <c r="D5" s="26"/>
      <c r="E5" s="26"/>
      <c r="F5" s="26"/>
      <c r="G5" s="27"/>
    </row>
    <row r="6" spans="1:13" ht="62.5" customHeight="1" x14ac:dyDescent="0.25">
      <c r="A6" s="25"/>
      <c r="B6" s="26"/>
      <c r="C6" s="26"/>
      <c r="D6" s="26"/>
      <c r="E6" s="26"/>
      <c r="F6" s="26"/>
      <c r="G6" s="27"/>
    </row>
    <row r="7" spans="1:13" ht="26" customHeight="1" x14ac:dyDescent="0.25">
      <c r="A7" s="10" t="s">
        <v>9</v>
      </c>
      <c r="B7" s="11" t="s">
        <v>10</v>
      </c>
      <c r="C7" s="11" t="s">
        <v>11</v>
      </c>
      <c r="D7" s="10" t="s">
        <v>12</v>
      </c>
      <c r="E7" s="30" t="s">
        <v>13</v>
      </c>
      <c r="F7" s="26"/>
      <c r="G7" s="27"/>
    </row>
    <row r="8" spans="1:13" ht="20" customHeight="1" x14ac:dyDescent="0.25">
      <c r="A8" s="7"/>
      <c r="B8" s="7"/>
      <c r="C8" s="7"/>
      <c r="D8" s="7"/>
      <c r="E8" s="28"/>
      <c r="F8" s="26"/>
      <c r="G8" s="27"/>
    </row>
    <row r="9" spans="1:13" ht="20" customHeight="1" x14ac:dyDescent="0.25">
      <c r="A9" s="6"/>
      <c r="B9" s="6"/>
      <c r="C9" s="6"/>
      <c r="D9" s="6"/>
      <c r="E9" s="6"/>
      <c r="F9" s="6"/>
    </row>
    <row r="10" spans="1:13" ht="18" customHeight="1" x14ac:dyDescent="0.25">
      <c r="A10" s="31" t="s">
        <v>14</v>
      </c>
      <c r="B10" s="24"/>
      <c r="C10" s="24"/>
      <c r="D10" s="24"/>
      <c r="E10" s="24"/>
      <c r="F10" s="24"/>
      <c r="G10" s="24"/>
    </row>
    <row r="11" spans="1:13" ht="22" customHeight="1" x14ac:dyDescent="0.25">
      <c r="A11" s="8" t="s">
        <v>3</v>
      </c>
      <c r="B11" s="9" t="s">
        <v>15</v>
      </c>
      <c r="C11" s="8" t="s">
        <v>16</v>
      </c>
      <c r="D11" s="9" t="s">
        <v>15</v>
      </c>
      <c r="E11" s="9" t="s">
        <v>17</v>
      </c>
      <c r="F11" s="9" t="s">
        <v>15</v>
      </c>
    </row>
    <row r="12" spans="1:13" ht="30" customHeight="1" x14ac:dyDescent="0.25">
      <c r="A12" s="3"/>
      <c r="B12" s="8"/>
      <c r="C12" s="3"/>
      <c r="D12" s="8"/>
      <c r="E12" s="3"/>
      <c r="F12" s="8"/>
    </row>
    <row r="14" spans="1:13" ht="25" customHeight="1" x14ac:dyDescent="0.25"/>
    <row r="16" spans="1:13" ht="34" customHeight="1" x14ac:dyDescent="0.25"/>
  </sheetData>
  <mergeCells count="7">
    <mergeCell ref="A10:G10"/>
    <mergeCell ref="A5:G5"/>
    <mergeCell ref="A1:G1"/>
    <mergeCell ref="A6:G6"/>
    <mergeCell ref="E8:G8"/>
    <mergeCell ref="A2:M2"/>
    <mergeCell ref="E7:G7"/>
  </mergeCells>
  <phoneticPr fontId="8" type="noConversion"/>
  <dataValidations count="2">
    <dataValidation type="list" allowBlank="1" sqref="G4" xr:uid="{00000000-0002-0000-0000-000000000000}">
      <formula1>"新建工程,大修工程,零星工程,修理修缮"</formula1>
    </dataValidation>
    <dataValidation type="list" allowBlank="1" sqref="D8 E9" xr:uid="{00000000-0002-0000-0000-000001000000}">
      <formula1>"是,否"</formula1>
    </dataValidation>
  </dataValidation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workbookViewId="0">
      <pane ySplit="5" topLeftCell="A42" activePane="bottomLeft" state="frozen"/>
      <selection pane="bottomLeft" activeCell="B18" sqref="B18"/>
    </sheetView>
  </sheetViews>
  <sheetFormatPr defaultRowHeight="14" x14ac:dyDescent="0.25"/>
  <cols>
    <col min="1" max="1" width="36.7265625" customWidth="1"/>
    <col min="2" max="3" width="16" customWidth="1"/>
    <col min="4" max="4" width="40" customWidth="1"/>
  </cols>
  <sheetData>
    <row r="1" spans="1:4" ht="22" customHeight="1" x14ac:dyDescent="0.25">
      <c r="A1" s="23" t="s">
        <v>18</v>
      </c>
      <c r="B1" s="24"/>
      <c r="C1" s="24"/>
      <c r="D1" s="24"/>
    </row>
    <row r="2" spans="1:4" ht="16" customHeight="1" x14ac:dyDescent="0.25">
      <c r="A2" s="29" t="s">
        <v>19</v>
      </c>
      <c r="B2" s="24"/>
      <c r="C2" s="24"/>
      <c r="D2" s="24"/>
    </row>
    <row r="3" spans="1:4" ht="16" customHeight="1" x14ac:dyDescent="0.25">
      <c r="A3" s="29" t="s">
        <v>20</v>
      </c>
      <c r="B3" s="24"/>
      <c r="C3" s="24"/>
      <c r="D3" s="24"/>
    </row>
    <row r="5" spans="1:4" ht="18" customHeight="1" x14ac:dyDescent="0.25">
      <c r="A5" s="32" t="s">
        <v>21</v>
      </c>
      <c r="B5" s="24"/>
      <c r="C5" s="24"/>
      <c r="D5" s="24"/>
    </row>
    <row r="6" spans="1:4" ht="30" customHeight="1" x14ac:dyDescent="0.25">
      <c r="A6" s="1" t="s">
        <v>22</v>
      </c>
      <c r="B6" s="1" t="s">
        <v>23</v>
      </c>
      <c r="C6" s="1" t="s">
        <v>24</v>
      </c>
      <c r="D6" s="1" t="s">
        <v>25</v>
      </c>
    </row>
    <row r="7" spans="1:4" ht="32" customHeight="1" x14ac:dyDescent="0.25">
      <c r="A7" s="2" t="s">
        <v>26</v>
      </c>
      <c r="B7" s="2" t="s">
        <v>3</v>
      </c>
      <c r="C7" s="2" t="s">
        <v>27</v>
      </c>
      <c r="D7" s="2" t="s">
        <v>28</v>
      </c>
    </row>
    <row r="8" spans="1:4" ht="32" customHeight="1" x14ac:dyDescent="0.25">
      <c r="A8" s="2" t="s">
        <v>29</v>
      </c>
      <c r="B8" s="2" t="s">
        <v>30</v>
      </c>
      <c r="C8" s="2" t="s">
        <v>27</v>
      </c>
      <c r="D8" s="2" t="s">
        <v>28</v>
      </c>
    </row>
    <row r="9" spans="1:4" ht="32" customHeight="1" x14ac:dyDescent="0.25">
      <c r="A9" s="17" t="s">
        <v>31</v>
      </c>
      <c r="B9" s="2" t="s">
        <v>30</v>
      </c>
      <c r="C9" s="2" t="s">
        <v>32</v>
      </c>
      <c r="D9" s="2" t="s">
        <v>28</v>
      </c>
    </row>
    <row r="10" spans="1:4" ht="32" customHeight="1" x14ac:dyDescent="0.25">
      <c r="A10" s="17" t="s">
        <v>33</v>
      </c>
      <c r="B10" s="2" t="s">
        <v>34</v>
      </c>
      <c r="C10" s="2" t="s">
        <v>35</v>
      </c>
      <c r="D10" s="2" t="s">
        <v>28</v>
      </c>
    </row>
    <row r="11" spans="1:4" ht="32" customHeight="1" x14ac:dyDescent="0.25">
      <c r="A11" s="17" t="s">
        <v>36</v>
      </c>
      <c r="B11" s="2" t="s">
        <v>37</v>
      </c>
      <c r="C11" s="2" t="s">
        <v>27</v>
      </c>
      <c r="D11" s="2" t="s">
        <v>28</v>
      </c>
    </row>
    <row r="12" spans="1:4" ht="32" customHeight="1" x14ac:dyDescent="0.25">
      <c r="A12" s="17" t="s">
        <v>38</v>
      </c>
      <c r="B12" s="2" t="s">
        <v>39</v>
      </c>
      <c r="C12" s="2" t="s">
        <v>40</v>
      </c>
      <c r="D12" s="2" t="s">
        <v>41</v>
      </c>
    </row>
    <row r="13" spans="1:4" ht="32" customHeight="1" x14ac:dyDescent="0.25">
      <c r="A13" s="2" t="s">
        <v>42</v>
      </c>
      <c r="B13" s="2" t="s">
        <v>43</v>
      </c>
      <c r="C13" s="2" t="s">
        <v>44</v>
      </c>
      <c r="D13" s="2" t="s">
        <v>28</v>
      </c>
    </row>
    <row r="15" spans="1:4" ht="18" customHeight="1" x14ac:dyDescent="0.25">
      <c r="A15" s="32" t="s">
        <v>45</v>
      </c>
      <c r="B15" s="24"/>
      <c r="C15" s="24"/>
      <c r="D15" s="24"/>
    </row>
    <row r="16" spans="1:4" ht="30" customHeight="1" x14ac:dyDescent="0.25">
      <c r="A16" s="1" t="s">
        <v>46</v>
      </c>
      <c r="B16" s="1" t="s">
        <v>47</v>
      </c>
      <c r="C16" s="1" t="s">
        <v>48</v>
      </c>
      <c r="D16" s="1" t="s">
        <v>49</v>
      </c>
    </row>
    <row r="17" spans="1:4" ht="32" customHeight="1" x14ac:dyDescent="0.25">
      <c r="A17" s="4" t="s">
        <v>50</v>
      </c>
      <c r="B17" s="4" t="s">
        <v>51</v>
      </c>
      <c r="C17" s="4" t="s">
        <v>52</v>
      </c>
      <c r="D17" s="4" t="s">
        <v>53</v>
      </c>
    </row>
    <row r="18" spans="1:4" ht="32" customHeight="1" x14ac:dyDescent="0.25">
      <c r="A18" s="4" t="s">
        <v>54</v>
      </c>
      <c r="B18" s="4" t="s">
        <v>51</v>
      </c>
      <c r="C18" s="4" t="s">
        <v>27</v>
      </c>
      <c r="D18" s="4" t="s">
        <v>55</v>
      </c>
    </row>
    <row r="19" spans="1:4" ht="32" customHeight="1" x14ac:dyDescent="0.25">
      <c r="A19" s="4" t="s">
        <v>56</v>
      </c>
      <c r="B19" s="4" t="s">
        <v>51</v>
      </c>
      <c r="C19" s="4" t="s">
        <v>52</v>
      </c>
      <c r="D19" s="4" t="s">
        <v>57</v>
      </c>
    </row>
    <row r="20" spans="1:4" ht="32" customHeight="1" x14ac:dyDescent="0.25">
      <c r="A20" s="4" t="s">
        <v>58</v>
      </c>
      <c r="B20" s="4" t="s">
        <v>51</v>
      </c>
      <c r="C20" s="4" t="s">
        <v>40</v>
      </c>
      <c r="D20" s="4"/>
    </row>
    <row r="21" spans="1:4" ht="32" customHeight="1" x14ac:dyDescent="0.25">
      <c r="A21" s="4" t="s">
        <v>59</v>
      </c>
      <c r="B21" s="4" t="s">
        <v>51</v>
      </c>
      <c r="C21" s="4" t="s">
        <v>52</v>
      </c>
      <c r="D21" s="4" t="s">
        <v>60</v>
      </c>
    </row>
    <row r="22" spans="1:4" ht="32" customHeight="1" x14ac:dyDescent="0.25">
      <c r="A22" s="4" t="s">
        <v>61</v>
      </c>
      <c r="B22" s="4" t="s">
        <v>51</v>
      </c>
      <c r="C22" s="4" t="s">
        <v>52</v>
      </c>
      <c r="D22" s="4" t="s">
        <v>62</v>
      </c>
    </row>
    <row r="23" spans="1:4" ht="32" customHeight="1" x14ac:dyDescent="0.25">
      <c r="A23" s="4" t="s">
        <v>63</v>
      </c>
      <c r="B23" s="4" t="s">
        <v>64</v>
      </c>
      <c r="C23" s="4" t="s">
        <v>27</v>
      </c>
      <c r="D23" s="4" t="s">
        <v>65</v>
      </c>
    </row>
    <row r="24" spans="1:4" ht="32" customHeight="1" x14ac:dyDescent="0.25">
      <c r="A24" s="4" t="s">
        <v>66</v>
      </c>
      <c r="B24" s="4" t="s">
        <v>67</v>
      </c>
      <c r="C24" s="4" t="s">
        <v>52</v>
      </c>
      <c r="D24" s="4" t="s">
        <v>68</v>
      </c>
    </row>
    <row r="25" spans="1:4" ht="32" customHeight="1" x14ac:dyDescent="0.25">
      <c r="A25" s="4" t="s">
        <v>69</v>
      </c>
      <c r="B25" s="4" t="s">
        <v>51</v>
      </c>
      <c r="C25" s="4" t="s">
        <v>40</v>
      </c>
      <c r="D25" s="4" t="s">
        <v>70</v>
      </c>
    </row>
    <row r="26" spans="1:4" ht="32" customHeight="1" x14ac:dyDescent="0.25">
      <c r="A26" s="4" t="s">
        <v>71</v>
      </c>
      <c r="B26" s="4" t="s">
        <v>72</v>
      </c>
      <c r="C26" s="4" t="s">
        <v>52</v>
      </c>
      <c r="D26" s="4" t="s">
        <v>73</v>
      </c>
    </row>
    <row r="27" spans="1:4" ht="32" customHeight="1" x14ac:dyDescent="0.25">
      <c r="A27" s="18" t="s">
        <v>74</v>
      </c>
      <c r="B27" s="18" t="s">
        <v>72</v>
      </c>
      <c r="C27" s="4"/>
      <c r="D27" s="19" t="s">
        <v>75</v>
      </c>
    </row>
    <row r="28" spans="1:4" ht="32" customHeight="1" x14ac:dyDescent="0.25">
      <c r="A28" s="4" t="s">
        <v>76</v>
      </c>
      <c r="B28" s="4" t="s">
        <v>77</v>
      </c>
      <c r="C28" s="4" t="s">
        <v>52</v>
      </c>
      <c r="D28" s="4"/>
    </row>
    <row r="29" spans="1:4" ht="32" customHeight="1" x14ac:dyDescent="0.25">
      <c r="A29" s="4" t="s">
        <v>78</v>
      </c>
      <c r="B29" s="4" t="s">
        <v>77</v>
      </c>
      <c r="C29" s="4" t="s">
        <v>52</v>
      </c>
      <c r="D29" s="4"/>
    </row>
    <row r="30" spans="1:4" ht="32" customHeight="1" x14ac:dyDescent="0.25">
      <c r="A30" s="18" t="s">
        <v>79</v>
      </c>
      <c r="B30" s="4" t="s">
        <v>77</v>
      </c>
      <c r="C30" s="4" t="s">
        <v>52</v>
      </c>
      <c r="D30" s="4"/>
    </row>
    <row r="32" spans="1:4" ht="18" customHeight="1" x14ac:dyDescent="0.25">
      <c r="A32" s="32" t="s">
        <v>80</v>
      </c>
      <c r="B32" s="24"/>
      <c r="C32" s="24"/>
      <c r="D32" s="24"/>
    </row>
    <row r="33" spans="1:4" ht="30" customHeight="1" x14ac:dyDescent="0.25">
      <c r="A33" s="1" t="s">
        <v>46</v>
      </c>
      <c r="B33" s="1" t="s">
        <v>47</v>
      </c>
      <c r="C33" s="1" t="s">
        <v>81</v>
      </c>
      <c r="D33" s="1" t="s">
        <v>82</v>
      </c>
    </row>
    <row r="34" spans="1:4" ht="32" customHeight="1" x14ac:dyDescent="0.25">
      <c r="A34" s="4" t="s">
        <v>83</v>
      </c>
      <c r="B34" s="4" t="s">
        <v>51</v>
      </c>
      <c r="C34" s="4" t="s">
        <v>52</v>
      </c>
      <c r="D34" s="4" t="s">
        <v>84</v>
      </c>
    </row>
    <row r="35" spans="1:4" ht="32" customHeight="1" x14ac:dyDescent="0.25">
      <c r="A35" s="4" t="s">
        <v>85</v>
      </c>
      <c r="B35" s="4" t="s">
        <v>51</v>
      </c>
      <c r="C35" s="4" t="s">
        <v>27</v>
      </c>
      <c r="D35" s="4" t="s">
        <v>86</v>
      </c>
    </row>
    <row r="36" spans="1:4" ht="32" customHeight="1" x14ac:dyDescent="0.25">
      <c r="A36" s="4" t="s">
        <v>87</v>
      </c>
      <c r="B36" s="4" t="s">
        <v>87</v>
      </c>
      <c r="C36" s="4" t="s">
        <v>27</v>
      </c>
      <c r="D36" s="4"/>
    </row>
    <row r="37" spans="1:4" ht="32" customHeight="1" x14ac:dyDescent="0.25">
      <c r="A37" s="4" t="s">
        <v>88</v>
      </c>
      <c r="B37" s="4" t="s">
        <v>51</v>
      </c>
      <c r="C37" s="4" t="s">
        <v>27</v>
      </c>
      <c r="D37" s="4"/>
    </row>
    <row r="38" spans="1:4" ht="32" customHeight="1" x14ac:dyDescent="0.25">
      <c r="A38" s="4" t="s">
        <v>89</v>
      </c>
      <c r="B38" s="4" t="s">
        <v>51</v>
      </c>
      <c r="C38" s="4" t="s">
        <v>52</v>
      </c>
      <c r="D38" s="4" t="s">
        <v>90</v>
      </c>
    </row>
    <row r="39" spans="1:4" ht="32" customHeight="1" x14ac:dyDescent="0.25">
      <c r="A39" s="4" t="s">
        <v>91</v>
      </c>
      <c r="B39" s="4" t="s">
        <v>51</v>
      </c>
      <c r="C39" s="4" t="s">
        <v>27</v>
      </c>
      <c r="D39" s="4"/>
    </row>
    <row r="40" spans="1:4" ht="32" customHeight="1" x14ac:dyDescent="0.25">
      <c r="A40" s="4" t="s">
        <v>92</v>
      </c>
      <c r="B40" s="4" t="s">
        <v>51</v>
      </c>
      <c r="C40" s="4" t="s">
        <v>27</v>
      </c>
      <c r="D40" s="4"/>
    </row>
    <row r="41" spans="1:4" ht="32" customHeight="1" x14ac:dyDescent="0.25">
      <c r="A41" s="4" t="s">
        <v>93</v>
      </c>
      <c r="B41" s="4" t="s">
        <v>51</v>
      </c>
      <c r="C41" s="4" t="s">
        <v>27</v>
      </c>
      <c r="D41" s="4"/>
    </row>
    <row r="42" spans="1:4" ht="32" customHeight="1" x14ac:dyDescent="0.25">
      <c r="A42" s="4" t="s">
        <v>94</v>
      </c>
      <c r="B42" s="4" t="s">
        <v>51</v>
      </c>
      <c r="C42" s="4" t="s">
        <v>52</v>
      </c>
      <c r="D42" s="4" t="s">
        <v>95</v>
      </c>
    </row>
    <row r="43" spans="1:4" ht="32" customHeight="1" x14ac:dyDescent="0.25">
      <c r="A43" s="4" t="s">
        <v>96</v>
      </c>
      <c r="B43" s="4" t="s">
        <v>51</v>
      </c>
      <c r="C43" s="4" t="s">
        <v>27</v>
      </c>
      <c r="D43" s="4"/>
    </row>
    <row r="44" spans="1:4" ht="32" customHeight="1" x14ac:dyDescent="0.25">
      <c r="A44" s="4" t="s">
        <v>97</v>
      </c>
      <c r="B44" s="4" t="s">
        <v>51</v>
      </c>
      <c r="C44" s="4" t="s">
        <v>52</v>
      </c>
      <c r="D44" s="4" t="s">
        <v>98</v>
      </c>
    </row>
    <row r="45" spans="1:4" ht="32" customHeight="1" x14ac:dyDescent="0.25">
      <c r="A45" s="4" t="s">
        <v>99</v>
      </c>
      <c r="B45" s="4" t="s">
        <v>51</v>
      </c>
      <c r="C45" s="4" t="s">
        <v>52</v>
      </c>
      <c r="D45" s="4"/>
    </row>
    <row r="46" spans="1:4" ht="32" customHeight="1" x14ac:dyDescent="0.25">
      <c r="A46" s="4" t="s">
        <v>100</v>
      </c>
      <c r="B46" s="4" t="s">
        <v>51</v>
      </c>
      <c r="C46" s="4" t="s">
        <v>27</v>
      </c>
      <c r="D46" s="4"/>
    </row>
    <row r="47" spans="1:4" ht="32" customHeight="1" x14ac:dyDescent="0.25">
      <c r="A47" s="4" t="s">
        <v>101</v>
      </c>
      <c r="B47" s="4" t="s">
        <v>51</v>
      </c>
      <c r="C47" s="4" t="s">
        <v>40</v>
      </c>
      <c r="D47" s="4" t="s">
        <v>102</v>
      </c>
    </row>
    <row r="48" spans="1:4" ht="32" customHeight="1" x14ac:dyDescent="0.25">
      <c r="A48" s="4" t="s">
        <v>103</v>
      </c>
      <c r="B48" s="4" t="s">
        <v>51</v>
      </c>
      <c r="C48" s="4" t="s">
        <v>27</v>
      </c>
      <c r="D48" s="4"/>
    </row>
    <row r="50" spans="1:4" ht="18" customHeight="1" x14ac:dyDescent="0.25">
      <c r="A50" s="32" t="s">
        <v>104</v>
      </c>
      <c r="B50" s="24"/>
      <c r="C50" s="24"/>
      <c r="D50" s="24"/>
    </row>
    <row r="51" spans="1:4" ht="30" customHeight="1" x14ac:dyDescent="0.25">
      <c r="A51" s="1" t="s">
        <v>46</v>
      </c>
      <c r="B51" s="1" t="s">
        <v>47</v>
      </c>
      <c r="C51" s="1" t="s">
        <v>81</v>
      </c>
      <c r="D51" s="1" t="s">
        <v>82</v>
      </c>
    </row>
    <row r="52" spans="1:4" ht="32" customHeight="1" x14ac:dyDescent="0.25">
      <c r="A52" s="4" t="s">
        <v>105</v>
      </c>
      <c r="B52" s="4" t="s">
        <v>51</v>
      </c>
      <c r="C52" s="4" t="s">
        <v>27</v>
      </c>
      <c r="D52" s="4"/>
    </row>
    <row r="53" spans="1:4" ht="32" customHeight="1" x14ac:dyDescent="0.25">
      <c r="A53" s="4" t="s">
        <v>106</v>
      </c>
      <c r="B53" s="4" t="s">
        <v>51</v>
      </c>
      <c r="C53" s="4" t="s">
        <v>52</v>
      </c>
      <c r="D53" s="4" t="s">
        <v>107</v>
      </c>
    </row>
    <row r="54" spans="1:4" ht="32" customHeight="1" x14ac:dyDescent="0.25">
      <c r="A54" s="4" t="s">
        <v>108</v>
      </c>
      <c r="B54" s="4" t="s">
        <v>51</v>
      </c>
      <c r="C54" s="4" t="s">
        <v>52</v>
      </c>
      <c r="D54" s="4"/>
    </row>
    <row r="55" spans="1:4" ht="32" customHeight="1" x14ac:dyDescent="0.25">
      <c r="A55" s="4" t="s">
        <v>109</v>
      </c>
      <c r="B55" s="4" t="s">
        <v>87</v>
      </c>
      <c r="C55" s="4" t="s">
        <v>52</v>
      </c>
      <c r="D55" s="4" t="s">
        <v>110</v>
      </c>
    </row>
    <row r="56" spans="1:4" ht="32" customHeight="1" x14ac:dyDescent="0.25">
      <c r="A56" s="4" t="s">
        <v>111</v>
      </c>
      <c r="B56" s="4" t="s">
        <v>51</v>
      </c>
      <c r="C56" s="4" t="s">
        <v>52</v>
      </c>
      <c r="D56" s="4" t="e">
        <f>施工方</f>
        <v>#NAME?</v>
      </c>
    </row>
    <row r="57" spans="1:4" ht="32" customHeight="1" x14ac:dyDescent="0.25">
      <c r="A57" s="4" t="s">
        <v>112</v>
      </c>
      <c r="B57" s="4" t="s">
        <v>51</v>
      </c>
      <c r="C57" s="4" t="s">
        <v>52</v>
      </c>
      <c r="D57" s="4" t="s">
        <v>113</v>
      </c>
    </row>
    <row r="58" spans="1:4" ht="32" customHeight="1" x14ac:dyDescent="0.25">
      <c r="A58" s="4" t="s">
        <v>114</v>
      </c>
      <c r="B58" s="4" t="s">
        <v>51</v>
      </c>
      <c r="C58" s="4" t="s">
        <v>27</v>
      </c>
      <c r="D58" s="4"/>
    </row>
    <row r="59" spans="1:4" ht="32" customHeight="1" x14ac:dyDescent="0.25">
      <c r="A59" s="4" t="s">
        <v>115</v>
      </c>
      <c r="B59" s="4" t="s">
        <v>51</v>
      </c>
      <c r="C59" s="4" t="s">
        <v>40</v>
      </c>
      <c r="D59" s="4"/>
    </row>
    <row r="60" spans="1:4" ht="32" customHeight="1" x14ac:dyDescent="0.25">
      <c r="A60" s="4" t="s">
        <v>116</v>
      </c>
      <c r="B60" s="4" t="s">
        <v>51</v>
      </c>
      <c r="C60" s="4" t="s">
        <v>40</v>
      </c>
      <c r="D60" s="4"/>
    </row>
    <row r="61" spans="1:4" ht="32" customHeight="1" x14ac:dyDescent="0.25">
      <c r="A61" s="4" t="s">
        <v>117</v>
      </c>
      <c r="B61" s="4" t="s">
        <v>51</v>
      </c>
      <c r="C61" s="4" t="s">
        <v>52</v>
      </c>
      <c r="D61" s="4" t="e">
        <f>华特越南</f>
        <v>#NAME?</v>
      </c>
    </row>
    <row r="62" spans="1:4" ht="32" customHeight="1" x14ac:dyDescent="0.25">
      <c r="A62" s="4" t="s">
        <v>118</v>
      </c>
      <c r="B62" s="4" t="s">
        <v>51</v>
      </c>
      <c r="C62" s="4" t="s">
        <v>52</v>
      </c>
      <c r="D62" s="4"/>
    </row>
    <row r="63" spans="1:4" ht="32" customHeight="1" x14ac:dyDescent="0.25">
      <c r="A63" s="4" t="s">
        <v>119</v>
      </c>
      <c r="B63" s="4" t="s">
        <v>51</v>
      </c>
      <c r="C63" s="4" t="s">
        <v>27</v>
      </c>
      <c r="D63" s="4"/>
    </row>
    <row r="64" spans="1:4" ht="32" customHeight="1" x14ac:dyDescent="0.25">
      <c r="A64" s="4" t="s">
        <v>120</v>
      </c>
      <c r="B64" s="4" t="s">
        <v>51</v>
      </c>
      <c r="C64" s="4" t="s">
        <v>27</v>
      </c>
      <c r="D64" s="4"/>
    </row>
    <row r="65" spans="1:4" ht="32" customHeight="1" x14ac:dyDescent="0.25">
      <c r="A65" s="4" t="s">
        <v>121</v>
      </c>
      <c r="B65" s="4" t="s">
        <v>122</v>
      </c>
      <c r="C65" s="4" t="s">
        <v>52</v>
      </c>
      <c r="D65" s="4" t="s">
        <v>123</v>
      </c>
    </row>
    <row r="66" spans="1:4" ht="32" customHeight="1" x14ac:dyDescent="0.25">
      <c r="A66" s="4" t="s">
        <v>124</v>
      </c>
      <c r="B66" s="4" t="s">
        <v>72</v>
      </c>
      <c r="C66" s="4" t="s">
        <v>52</v>
      </c>
      <c r="D66" s="4"/>
    </row>
    <row r="67" spans="1:4" ht="32" customHeight="1" x14ac:dyDescent="0.25">
      <c r="A67" s="4" t="s">
        <v>125</v>
      </c>
      <c r="B67" s="4" t="s">
        <v>67</v>
      </c>
      <c r="C67" s="4" t="s">
        <v>27</v>
      </c>
      <c r="D67" s="4" t="s">
        <v>126</v>
      </c>
    </row>
    <row r="68" spans="1:4" ht="32" customHeight="1" x14ac:dyDescent="0.25">
      <c r="A68" s="4" t="s">
        <v>127</v>
      </c>
      <c r="B68" s="4" t="s">
        <v>72</v>
      </c>
      <c r="C68" s="4" t="s">
        <v>27</v>
      </c>
      <c r="D68" s="4"/>
    </row>
    <row r="69" spans="1:4" ht="32" customHeight="1" x14ac:dyDescent="0.25">
      <c r="A69" s="4" t="s">
        <v>128</v>
      </c>
      <c r="B69" s="4" t="s">
        <v>72</v>
      </c>
      <c r="C69" s="4" t="s">
        <v>52</v>
      </c>
      <c r="D69" s="4" t="e">
        <f>合同请款金额</f>
        <v>#NAME?</v>
      </c>
    </row>
    <row r="70" spans="1:4" ht="32" customHeight="1" x14ac:dyDescent="0.25">
      <c r="A70" s="4" t="s">
        <v>129</v>
      </c>
      <c r="B70" s="4" t="s">
        <v>51</v>
      </c>
      <c r="C70" s="4" t="s">
        <v>27</v>
      </c>
      <c r="D70" s="4"/>
    </row>
    <row r="71" spans="1:4" ht="32" customHeight="1" x14ac:dyDescent="0.25">
      <c r="A71" s="4" t="s">
        <v>130</v>
      </c>
      <c r="B71" s="4" t="s">
        <v>77</v>
      </c>
      <c r="C71" s="4" t="s">
        <v>27</v>
      </c>
      <c r="D71" s="4"/>
    </row>
    <row r="72" spans="1:4" ht="32" customHeight="1" x14ac:dyDescent="0.25">
      <c r="A72" s="4" t="s">
        <v>131</v>
      </c>
      <c r="B72" s="4" t="s">
        <v>77</v>
      </c>
      <c r="C72" s="4" t="s">
        <v>27</v>
      </c>
      <c r="D72" s="4"/>
    </row>
    <row r="73" spans="1:4" ht="32" customHeight="1" x14ac:dyDescent="0.25">
      <c r="A73" s="4" t="s">
        <v>132</v>
      </c>
      <c r="B73" s="4" t="s">
        <v>51</v>
      </c>
      <c r="C73" s="4" t="s">
        <v>27</v>
      </c>
      <c r="D73" s="4" t="s">
        <v>133</v>
      </c>
    </row>
    <row r="75" spans="1:4" ht="18" customHeight="1" x14ac:dyDescent="0.25">
      <c r="A75" s="32" t="s">
        <v>134</v>
      </c>
      <c r="B75" s="24"/>
      <c r="C75" s="24"/>
      <c r="D75" s="24"/>
    </row>
    <row r="76" spans="1:4" ht="30" customHeight="1" x14ac:dyDescent="0.25">
      <c r="A76" s="1" t="s">
        <v>135</v>
      </c>
      <c r="B76" s="1" t="s">
        <v>136</v>
      </c>
      <c r="C76" s="1" t="s">
        <v>137</v>
      </c>
      <c r="D76" s="1"/>
    </row>
    <row r="77" spans="1:4" ht="32" customHeight="1" x14ac:dyDescent="0.25">
      <c r="A77" s="18" t="s">
        <v>138</v>
      </c>
      <c r="B77" s="18" t="s">
        <v>139</v>
      </c>
      <c r="C77" s="4" t="s">
        <v>140</v>
      </c>
      <c r="D77" s="4"/>
    </row>
    <row r="78" spans="1:4" ht="32" customHeight="1" x14ac:dyDescent="0.25">
      <c r="A78" s="18" t="s">
        <v>141</v>
      </c>
      <c r="B78" s="18" t="s">
        <v>142</v>
      </c>
      <c r="C78" s="4" t="s">
        <v>143</v>
      </c>
      <c r="D78" s="4"/>
    </row>
  </sheetData>
  <mergeCells count="8">
    <mergeCell ref="A1:D1"/>
    <mergeCell ref="A75:D75"/>
    <mergeCell ref="A5:D5"/>
    <mergeCell ref="A50:D50"/>
    <mergeCell ref="A3:D3"/>
    <mergeCell ref="A15:D15"/>
    <mergeCell ref="A2:D2"/>
    <mergeCell ref="A32:D32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tabSelected="1" workbookViewId="0">
      <pane ySplit="3" topLeftCell="A4" activePane="bottomLeft" state="frozen"/>
      <selection pane="bottomLeft" activeCell="H15" sqref="H14:H15"/>
    </sheetView>
  </sheetViews>
  <sheetFormatPr defaultRowHeight="14" x14ac:dyDescent="0.25"/>
  <cols>
    <col min="1" max="1" width="11" customWidth="1"/>
    <col min="2" max="3" width="12" customWidth="1"/>
    <col min="4" max="4" width="18" customWidth="1"/>
    <col min="5" max="6" width="14" customWidth="1"/>
    <col min="7" max="7" width="11" customWidth="1"/>
    <col min="8" max="8" width="22" customWidth="1"/>
    <col min="9" max="9" width="16" customWidth="1"/>
    <col min="10" max="11" width="14" customWidth="1"/>
    <col min="12" max="12" width="16" customWidth="1"/>
    <col min="13" max="13" width="11" customWidth="1"/>
    <col min="14" max="14" width="12" customWidth="1"/>
  </cols>
  <sheetData>
    <row r="1" spans="1:14" ht="22" customHeight="1" x14ac:dyDescent="0.25">
      <c r="A1" s="23" t="s">
        <v>144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6" customHeight="1" x14ac:dyDescent="0.25">
      <c r="A2" s="29" t="s">
        <v>145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30" customHeight="1" x14ac:dyDescent="0.25">
      <c r="A3" s="1" t="s">
        <v>146</v>
      </c>
      <c r="B3" s="1" t="s">
        <v>147</v>
      </c>
      <c r="C3" s="1" t="s">
        <v>148</v>
      </c>
      <c r="D3" s="1" t="s">
        <v>6</v>
      </c>
      <c r="E3" s="1" t="s">
        <v>149</v>
      </c>
      <c r="F3" s="1" t="s">
        <v>30</v>
      </c>
      <c r="G3" s="1" t="s">
        <v>150</v>
      </c>
      <c r="H3" s="1" t="s">
        <v>151</v>
      </c>
      <c r="I3" s="1" t="s">
        <v>152</v>
      </c>
      <c r="J3" s="1" t="s">
        <v>153</v>
      </c>
      <c r="K3" s="1" t="s">
        <v>154</v>
      </c>
      <c r="L3" s="1" t="s">
        <v>155</v>
      </c>
      <c r="M3" s="1" t="s">
        <v>156</v>
      </c>
      <c r="N3" s="1" t="s">
        <v>157</v>
      </c>
    </row>
    <row r="4" spans="1:14" ht="32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spans="1:14" ht="18" customHeight="1" x14ac:dyDescent="0.25">
      <c r="A6" s="32" t="s">
        <v>14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22" customHeight="1" x14ac:dyDescent="0.25">
      <c r="A7" s="1" t="s">
        <v>158</v>
      </c>
      <c r="B7" s="1" t="s">
        <v>159</v>
      </c>
      <c r="C7" s="1" t="s">
        <v>160</v>
      </c>
      <c r="D7" s="1" t="s">
        <v>161</v>
      </c>
    </row>
    <row r="8" spans="1:14" ht="30" customHeight="1" x14ac:dyDescent="0.25">
      <c r="A8" s="3"/>
      <c r="B8" s="3"/>
      <c r="C8" s="3"/>
      <c r="D8" s="3"/>
    </row>
    <row r="9" spans="1:14" x14ac:dyDescent="0.25">
      <c r="A9" s="33" t="s">
        <v>162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8" customHeight="1" x14ac:dyDescent="0.25">
      <c r="A10" s="29" t="s">
        <v>163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</sheetData>
  <mergeCells count="5">
    <mergeCell ref="A9:N9"/>
    <mergeCell ref="A6:N6"/>
    <mergeCell ref="A2:N2"/>
    <mergeCell ref="A10:N10"/>
    <mergeCell ref="A1:N1"/>
  </mergeCells>
  <phoneticPr fontId="8" type="noConversion"/>
  <dataValidations count="4">
    <dataValidation type="list" allowBlank="1" sqref="G4" xr:uid="{00000000-0002-0000-0200-000000000000}">
      <formula1>"阶段验收,竣工验收"</formula1>
    </dataValidation>
    <dataValidation type="list" allowBlank="1" sqref="J4" xr:uid="{00000000-0002-0000-0200-000001000000}">
      <formula1>"齐全,缺失"</formula1>
    </dataValidation>
    <dataValidation type="list" allowBlank="1" sqref="K4" xr:uid="{00000000-0002-0000-0200-000002000000}">
      <formula1>"已试,缺试"</formula1>
    </dataValidation>
    <dataValidation type="list" allowBlank="1" sqref="M4" xr:uid="{00000000-0002-0000-0200-000003000000}">
      <formula1>"合格,不合格"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>
      <pane ySplit="5" topLeftCell="A6" activePane="bottomLeft" state="frozen"/>
      <selection pane="bottomLeft" activeCell="D7" sqref="D7"/>
    </sheetView>
  </sheetViews>
  <sheetFormatPr defaultRowHeight="14" x14ac:dyDescent="0.25"/>
  <cols>
    <col min="1" max="1" width="13.1796875" customWidth="1"/>
    <col min="2" max="2" width="16" customWidth="1"/>
    <col min="3" max="3" width="12.26953125" customWidth="1"/>
    <col min="4" max="4" width="14" customWidth="1"/>
    <col min="5" max="5" width="18.08984375" customWidth="1"/>
    <col min="6" max="6" width="12" customWidth="1"/>
    <col min="7" max="7" width="13.81640625" customWidth="1"/>
    <col min="8" max="8" width="13.7265625" customWidth="1"/>
    <col min="9" max="9" width="16.36328125" customWidth="1"/>
    <col min="10" max="11" width="14" customWidth="1"/>
  </cols>
  <sheetData>
    <row r="1" spans="1:11" ht="22" customHeight="1" x14ac:dyDescent="0.25">
      <c r="A1" s="34" t="s">
        <v>164</v>
      </c>
      <c r="B1" s="24"/>
      <c r="C1" s="24"/>
      <c r="D1" s="24"/>
      <c r="E1" s="24"/>
      <c r="F1" s="24"/>
      <c r="G1" s="24"/>
      <c r="H1" s="24"/>
      <c r="I1" s="24"/>
      <c r="J1" s="24"/>
    </row>
    <row r="2" spans="1:11" ht="16" customHeight="1" x14ac:dyDescent="0.25">
      <c r="A2" s="29"/>
      <c r="B2" s="24"/>
      <c r="C2" s="24"/>
      <c r="D2" s="24"/>
      <c r="E2" s="24"/>
      <c r="F2" s="24"/>
      <c r="G2" s="24"/>
      <c r="H2" s="24"/>
      <c r="I2" s="24"/>
      <c r="J2" s="24"/>
    </row>
    <row r="4" spans="1:11" ht="22" customHeight="1" x14ac:dyDescent="0.25">
      <c r="A4" s="12" t="s">
        <v>1</v>
      </c>
      <c r="B4" s="12" t="s">
        <v>149</v>
      </c>
    </row>
    <row r="5" spans="1:11" ht="22" customHeight="1" x14ac:dyDescent="0.25">
      <c r="A5" s="3" t="s">
        <v>165</v>
      </c>
      <c r="B5" s="3"/>
      <c r="J5" t="s">
        <v>166</v>
      </c>
    </row>
    <row r="6" spans="1:11" ht="30" customHeight="1" x14ac:dyDescent="0.25">
      <c r="A6" s="13" t="s">
        <v>167</v>
      </c>
      <c r="B6" s="13" t="s">
        <v>168</v>
      </c>
      <c r="C6" s="13" t="s">
        <v>169</v>
      </c>
      <c r="D6" s="14" t="s">
        <v>170</v>
      </c>
      <c r="E6" s="14" t="s">
        <v>171</v>
      </c>
      <c r="F6" s="14" t="s">
        <v>172</v>
      </c>
      <c r="G6" s="13" t="s">
        <v>173</v>
      </c>
      <c r="H6" s="14" t="s">
        <v>174</v>
      </c>
      <c r="I6" s="14" t="s">
        <v>175</v>
      </c>
      <c r="J6" s="14" t="s">
        <v>176</v>
      </c>
      <c r="K6" s="15" t="s">
        <v>177</v>
      </c>
    </row>
    <row r="7" spans="1:11" ht="24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6"/>
    </row>
    <row r="8" spans="1:11" ht="24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6"/>
    </row>
    <row r="9" spans="1:11" ht="24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6"/>
    </row>
    <row r="10" spans="1:11" ht="22" customHeight="1" x14ac:dyDescent="0.25">
      <c r="A10" s="5" t="s">
        <v>178</v>
      </c>
      <c r="B10" s="5" t="s">
        <v>179</v>
      </c>
      <c r="C10" s="5" t="s">
        <v>179</v>
      </c>
      <c r="D10" s="5" t="s">
        <v>179</v>
      </c>
      <c r="E10" s="5"/>
      <c r="F10" s="5"/>
      <c r="G10" s="5"/>
      <c r="H10" s="5"/>
      <c r="I10" s="5"/>
      <c r="J10" s="5" t="s">
        <v>179</v>
      </c>
      <c r="K10" s="16"/>
    </row>
    <row r="12" spans="1:11" x14ac:dyDescent="0.25">
      <c r="A12" s="35" t="s">
        <v>180</v>
      </c>
      <c r="B12" s="24"/>
      <c r="C12" s="24"/>
      <c r="D12" s="24"/>
      <c r="E12" s="24"/>
      <c r="F12" s="24"/>
      <c r="G12" s="24"/>
      <c r="H12" s="24"/>
      <c r="I12" s="24"/>
      <c r="J12" s="24"/>
    </row>
    <row r="13" spans="1:11" ht="18" customHeight="1" x14ac:dyDescent="0.25">
      <c r="A13" s="32" t="s">
        <v>181</v>
      </c>
      <c r="B13" s="24"/>
      <c r="C13" s="24"/>
      <c r="D13" s="24"/>
      <c r="E13" s="24"/>
      <c r="F13" s="24"/>
      <c r="G13" s="24"/>
      <c r="H13" s="24"/>
      <c r="I13" s="24"/>
      <c r="J13" s="24"/>
    </row>
    <row r="14" spans="1:11" ht="22" customHeight="1" x14ac:dyDescent="0.25">
      <c r="A14" s="8" t="s">
        <v>182</v>
      </c>
      <c r="B14" s="9" t="s">
        <v>15</v>
      </c>
      <c r="C14" s="8" t="s">
        <v>16</v>
      </c>
      <c r="D14" s="9" t="s">
        <v>15</v>
      </c>
      <c r="E14" s="9" t="s">
        <v>17</v>
      </c>
      <c r="F14" s="9" t="s">
        <v>15</v>
      </c>
      <c r="G14" s="6"/>
      <c r="H14" s="6"/>
      <c r="I14" s="6"/>
      <c r="J14" s="6"/>
      <c r="K14" s="6"/>
    </row>
    <row r="15" spans="1:11" ht="30" customHeight="1" x14ac:dyDescent="0.25">
      <c r="A15" s="3"/>
      <c r="B15" s="8"/>
      <c r="C15" s="3"/>
      <c r="D15" s="8"/>
      <c r="E15" s="3"/>
      <c r="F15" s="8"/>
      <c r="G15" s="6"/>
      <c r="H15" s="6"/>
      <c r="I15" s="6"/>
      <c r="J15" s="6"/>
      <c r="K15" s="6"/>
    </row>
    <row r="17" ht="23.5" customHeight="1" x14ac:dyDescent="0.25"/>
    <row r="19" ht="31" customHeight="1" x14ac:dyDescent="0.25"/>
  </sheetData>
  <mergeCells count="4">
    <mergeCell ref="A1:J1"/>
    <mergeCell ref="A13:J13"/>
    <mergeCell ref="A12:J12"/>
    <mergeCell ref="A2:J2"/>
  </mergeCells>
  <phoneticPr fontId="8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workbookViewId="0">
      <pane ySplit="3" topLeftCell="A4" activePane="bottomLeft" state="frozen"/>
      <selection pane="bottomLeft" activeCell="F12" sqref="F12"/>
    </sheetView>
  </sheetViews>
  <sheetFormatPr defaultRowHeight="14" x14ac:dyDescent="0.25"/>
  <cols>
    <col min="1" max="1" width="16.54296875" customWidth="1"/>
    <col min="2" max="2" width="15.26953125" customWidth="1"/>
    <col min="3" max="3" width="12" customWidth="1"/>
    <col min="4" max="4" width="18" customWidth="1"/>
    <col min="5" max="5" width="14" customWidth="1"/>
    <col min="6" max="6" width="13" customWidth="1"/>
    <col min="7" max="7" width="15" customWidth="1"/>
    <col min="8" max="9" width="13" customWidth="1"/>
    <col min="10" max="10" width="16.26953125" customWidth="1"/>
  </cols>
  <sheetData>
    <row r="1" spans="1:10" ht="22" customHeight="1" x14ac:dyDescent="0.25">
      <c r="A1" s="23" t="s">
        <v>183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6" customHeight="1" x14ac:dyDescent="0.25">
      <c r="A2" s="29"/>
      <c r="B2" s="24"/>
      <c r="C2" s="24"/>
      <c r="D2" s="24"/>
      <c r="E2" s="24"/>
      <c r="F2" s="24"/>
      <c r="G2" s="24"/>
      <c r="H2" s="24"/>
      <c r="I2" s="24"/>
      <c r="J2" s="24"/>
    </row>
    <row r="3" spans="1:10" ht="30" customHeight="1" x14ac:dyDescent="0.25">
      <c r="A3" s="11" t="s">
        <v>184</v>
      </c>
      <c r="B3" s="11" t="s">
        <v>2</v>
      </c>
      <c r="C3" s="11" t="s">
        <v>185</v>
      </c>
      <c r="D3" s="11" t="s">
        <v>186</v>
      </c>
      <c r="E3" s="10" t="s">
        <v>187</v>
      </c>
      <c r="F3" s="11" t="s">
        <v>188</v>
      </c>
      <c r="G3" s="10" t="s">
        <v>189</v>
      </c>
      <c r="H3" s="10" t="s">
        <v>149</v>
      </c>
      <c r="I3" s="10" t="s">
        <v>190</v>
      </c>
    </row>
    <row r="4" spans="1:10" ht="32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10" ht="32" customHeight="1" x14ac:dyDescent="0.25">
      <c r="A5" s="36" t="s">
        <v>191</v>
      </c>
      <c r="B5" s="26"/>
      <c r="C5" s="26"/>
      <c r="D5" s="26"/>
      <c r="E5" s="27"/>
      <c r="F5" s="36" t="s">
        <v>192</v>
      </c>
      <c r="G5" s="26"/>
      <c r="H5" s="26"/>
      <c r="I5" s="27"/>
      <c r="J5" s="6"/>
    </row>
    <row r="6" spans="1:10" ht="32" customHeight="1" x14ac:dyDescent="0.25">
      <c r="A6" s="25"/>
      <c r="B6" s="26"/>
      <c r="C6" s="26"/>
      <c r="D6" s="26"/>
      <c r="E6" s="27"/>
      <c r="F6" s="25"/>
      <c r="G6" s="26"/>
      <c r="H6" s="26"/>
      <c r="I6" s="27"/>
      <c r="J6" s="6"/>
    </row>
    <row r="8" spans="1:10" ht="18" customHeight="1" x14ac:dyDescent="0.25">
      <c r="A8" s="37" t="s">
        <v>14</v>
      </c>
      <c r="B8" s="24"/>
      <c r="C8" s="24"/>
      <c r="D8" s="24"/>
      <c r="E8" s="24"/>
      <c r="F8" s="24"/>
      <c r="G8" s="24"/>
      <c r="H8" s="24"/>
      <c r="I8" s="24"/>
    </row>
    <row r="9" spans="1:10" ht="22" customHeight="1" x14ac:dyDescent="0.25">
      <c r="A9" s="8" t="s">
        <v>193</v>
      </c>
      <c r="B9" s="9" t="s">
        <v>15</v>
      </c>
      <c r="C9" s="9" t="s">
        <v>37</v>
      </c>
      <c r="D9" s="9" t="s">
        <v>15</v>
      </c>
      <c r="E9" s="8" t="s">
        <v>16</v>
      </c>
      <c r="F9" s="9" t="s">
        <v>15</v>
      </c>
    </row>
    <row r="10" spans="1:10" ht="30" customHeight="1" x14ac:dyDescent="0.25">
      <c r="A10" s="3"/>
      <c r="B10" s="8"/>
      <c r="C10" s="3"/>
      <c r="D10" s="8"/>
      <c r="E10" s="3"/>
      <c r="F10" s="8"/>
    </row>
    <row r="12" spans="1:10" ht="40.5" customHeight="1" x14ac:dyDescent="0.25"/>
    <row r="14" spans="1:10" ht="36.5" customHeight="1" x14ac:dyDescent="0.25"/>
    <row r="15" spans="1:10" x14ac:dyDescent="0.25">
      <c r="A15" s="9" t="s">
        <v>17</v>
      </c>
      <c r="B15" s="9" t="s">
        <v>15</v>
      </c>
    </row>
    <row r="16" spans="1:10" ht="46" customHeight="1" x14ac:dyDescent="0.25">
      <c r="A16" s="3"/>
      <c r="B16" s="8"/>
    </row>
  </sheetData>
  <mergeCells count="7">
    <mergeCell ref="A1:J1"/>
    <mergeCell ref="A5:E5"/>
    <mergeCell ref="A8:I8"/>
    <mergeCell ref="A2:J2"/>
    <mergeCell ref="F5:I5"/>
    <mergeCell ref="A6:E6"/>
    <mergeCell ref="F6:I6"/>
  </mergeCells>
  <phoneticPr fontId="8" type="noConversion"/>
  <dataValidations count="1">
    <dataValidation type="list" allowBlank="1" sqref="J5:J6" xr:uid="{00000000-0002-0000-0400-000000000000}">
      <formula1>"合格,不合格"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>
      <pane ySplit="3" topLeftCell="A4" activePane="bottomLeft" state="frozen"/>
      <selection pane="bottomLeft" activeCell="N5" sqref="N5"/>
    </sheetView>
  </sheetViews>
  <sheetFormatPr defaultRowHeight="14" x14ac:dyDescent="0.25"/>
  <cols>
    <col min="1" max="1" width="18" customWidth="1"/>
    <col min="2" max="2" width="12" customWidth="1"/>
    <col min="3" max="3" width="13" customWidth="1"/>
    <col min="4" max="5" width="14" customWidth="1"/>
    <col min="6" max="6" width="12" customWidth="1"/>
    <col min="7" max="7" width="20" customWidth="1"/>
    <col min="8" max="8" width="13" customWidth="1"/>
    <col min="9" max="9" width="16" customWidth="1"/>
    <col min="10" max="10" width="12" customWidth="1"/>
    <col min="11" max="11" width="11" customWidth="1"/>
    <col min="12" max="12" width="12" customWidth="1"/>
    <col min="13" max="13" width="13" customWidth="1"/>
    <col min="14" max="14" width="14" customWidth="1"/>
    <col min="15" max="15" width="12" customWidth="1"/>
  </cols>
  <sheetData>
    <row r="1" spans="1:15" ht="22" customHeight="1" x14ac:dyDescent="0.25">
      <c r="A1" s="39" t="s">
        <v>194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16" customHeight="1" x14ac:dyDescent="0.25">
      <c r="A2" s="38" t="s">
        <v>145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30" customHeight="1" x14ac:dyDescent="0.25">
      <c r="A3" s="20" t="s">
        <v>195</v>
      </c>
      <c r="B3" s="20" t="s">
        <v>196</v>
      </c>
      <c r="C3" s="20" t="s">
        <v>197</v>
      </c>
      <c r="D3" s="20" t="s">
        <v>198</v>
      </c>
      <c r="E3" s="20" t="s">
        <v>199</v>
      </c>
      <c r="F3" s="20" t="s">
        <v>200</v>
      </c>
      <c r="G3" s="20" t="s">
        <v>201</v>
      </c>
      <c r="H3" s="20" t="s">
        <v>202</v>
      </c>
      <c r="I3" s="20" t="s">
        <v>203</v>
      </c>
      <c r="J3" s="20" t="s">
        <v>204</v>
      </c>
      <c r="K3" s="20" t="s">
        <v>205</v>
      </c>
      <c r="L3" s="20" t="s">
        <v>206</v>
      </c>
      <c r="M3" s="20" t="s">
        <v>207</v>
      </c>
      <c r="N3" s="20" t="s">
        <v>208</v>
      </c>
      <c r="O3" s="20" t="s">
        <v>209</v>
      </c>
    </row>
    <row r="4" spans="1:15" ht="32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 ht="32" customHeigh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 ht="18" customHeight="1" x14ac:dyDescent="0.25">
      <c r="A6" s="40" t="s">
        <v>14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5" ht="22" customHeight="1" x14ac:dyDescent="0.25">
      <c r="A7" s="22" t="s">
        <v>210</v>
      </c>
      <c r="B7" s="22" t="s">
        <v>159</v>
      </c>
      <c r="C7" s="22" t="s">
        <v>160</v>
      </c>
      <c r="D7" s="22" t="s">
        <v>211</v>
      </c>
    </row>
    <row r="8" spans="1:15" ht="30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 ht="18" customHeight="1" x14ac:dyDescent="0.25">
      <c r="A9" s="38" t="s">
        <v>212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1:15" ht="18" customHeight="1" x14ac:dyDescent="0.25">
      <c r="A10" s="38" t="s">
        <v>213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5" ht="18" customHeight="1" x14ac:dyDescent="0.25">
      <c r="A11" s="38" t="s">
        <v>214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18" customHeight="1" x14ac:dyDescent="0.25">
      <c r="A12" s="38" t="s">
        <v>215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</row>
  </sheetData>
  <mergeCells count="7">
    <mergeCell ref="A12:O12"/>
    <mergeCell ref="A2:O2"/>
    <mergeCell ref="A10:O10"/>
    <mergeCell ref="A11:O11"/>
    <mergeCell ref="A1:O1"/>
    <mergeCell ref="A6:O6"/>
    <mergeCell ref="A9:O9"/>
  </mergeCells>
  <phoneticPr fontId="8" type="noConversion"/>
  <dataValidations count="2">
    <dataValidation type="list" allowBlank="1" sqref="F4:F5" xr:uid="{00000000-0002-0000-0500-000000000000}">
      <formula1>"设计变更,现场条件变化,工程量增减,其他"</formula1>
    </dataValidation>
    <dataValidation type="list" allowBlank="1" sqref="N4:N5" xr:uid="{00000000-0002-0000-0500-000001000000}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①工程立项申请单</vt:lpstr>
      <vt:lpstr>②OA附件要素规范</vt:lpstr>
      <vt:lpstr>③工程验收单</vt:lpstr>
      <vt:lpstr>④工程进度请款审核表</vt:lpstr>
      <vt:lpstr>⑤修理修缮</vt:lpstr>
      <vt:lpstr>⑥工程变更签证单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2026-08-28T03:40:11Z</dcterms:created>
  <dcterms:modified xsi:type="dcterms:W3CDTF">2026-09-05T02:26:38Z</dcterms:modified>
</cp:coreProperties>
</file>