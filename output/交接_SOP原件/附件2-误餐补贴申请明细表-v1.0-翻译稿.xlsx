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istrator\Desktop\SOP\费用循环\差旅标准\"/>
    </mc:Choice>
  </mc:AlternateContent>
  <xr:revisionPtr revIDLastSave="0" documentId="13_ncr:1_{E33DA534-B1F9-4D93-8EC4-B46B0E6A2EF6}" xr6:coauthVersionLast="47" xr6:coauthVersionMax="47" xr10:uidLastSave="{00000000-0000-0000-0000-000000000000}"/>
  <bookViews>
    <workbookView minimized="1" xWindow="15075" yWindow="-14130" windowWidth="14400" windowHeight="8175" xr2:uid="{00000000-000D-0000-FFFF-FFFF00000000}"/>
  </bookViews>
  <sheets>
    <sheet name="申请明细" sheetId="1" r:id="rId1"/>
    <sheet name="标准与参数" sheetId="2" r:id="rId2"/>
  </sheets>
  <definedNames>
    <definedName name="_xlnm.Print_Area" localSheetId="0">申请明细!$A$1:$M$23</definedName>
    <definedName name="标准表">标准与参数!$A$3:$I$51</definedName>
    <definedName name="城市等级表">标准与参数!$K$3:$L$52</definedName>
    <definedName name="国际地点">标准与参数!$B$8:$B$51</definedName>
    <definedName name="国内地点">标准与参数!$K$3:$K$52</definedName>
    <definedName name="十二小时">标准与参数!$O$5</definedName>
    <definedName name="十小时">标准与参数!$O$5</definedName>
    <definedName name="市内地点">标准与参数!$B$3:$B$4</definedName>
    <definedName name="晚起始">标准与参数!$O$4</definedName>
    <definedName name="午起始">标准与参数!$O$3</definedName>
    <definedName name="早截止">标准与参数!$O$2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2" l="1"/>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L19" i="1"/>
  <c r="K19" i="1"/>
  <c r="J19" i="1"/>
  <c r="I19" i="1"/>
  <c r="G19" i="1"/>
  <c r="F19" i="1"/>
  <c r="E19" i="1"/>
  <c r="D19" i="1"/>
  <c r="L18" i="1"/>
  <c r="K18" i="1"/>
  <c r="J18" i="1"/>
  <c r="I18" i="1"/>
  <c r="G18" i="1"/>
  <c r="F18" i="1"/>
  <c r="E18" i="1"/>
  <c r="D18" i="1"/>
  <c r="L17" i="1"/>
  <c r="K17" i="1"/>
  <c r="J17" i="1"/>
  <c r="I17" i="1"/>
  <c r="G17" i="1"/>
  <c r="F17" i="1"/>
  <c r="E17" i="1"/>
  <c r="D17" i="1"/>
  <c r="L16" i="1"/>
  <c r="K16" i="1"/>
  <c r="J16" i="1"/>
  <c r="I16" i="1"/>
  <c r="G16" i="1"/>
  <c r="F16" i="1"/>
  <c r="E16" i="1"/>
  <c r="D16" i="1"/>
  <c r="L15" i="1"/>
  <c r="K15" i="1"/>
  <c r="J15" i="1"/>
  <c r="I15" i="1"/>
  <c r="G15" i="1"/>
  <c r="F15" i="1"/>
  <c r="E15" i="1"/>
  <c r="D15" i="1"/>
  <c r="L14" i="1"/>
  <c r="K14" i="1"/>
  <c r="J14" i="1"/>
  <c r="I14" i="1"/>
  <c r="G14" i="1"/>
  <c r="F14" i="1"/>
  <c r="E14" i="1"/>
  <c r="D14" i="1"/>
  <c r="L13" i="1"/>
  <c r="K13" i="1"/>
  <c r="J13" i="1"/>
  <c r="I13" i="1"/>
  <c r="G13" i="1"/>
  <c r="F13" i="1"/>
  <c r="E13" i="1"/>
  <c r="D13" i="1"/>
  <c r="L12" i="1"/>
  <c r="K12" i="1"/>
  <c r="J12" i="1"/>
  <c r="I12" i="1"/>
  <c r="G12" i="1"/>
  <c r="F12" i="1"/>
  <c r="E12" i="1"/>
  <c r="D12" i="1"/>
  <c r="L11" i="1"/>
  <c r="K11" i="1"/>
  <c r="J11" i="1"/>
  <c r="I11" i="1"/>
  <c r="G11" i="1"/>
  <c r="F11" i="1"/>
  <c r="E11" i="1"/>
  <c r="D11" i="1"/>
  <c r="L10" i="1"/>
  <c r="K10" i="1"/>
  <c r="J10" i="1"/>
  <c r="I10" i="1"/>
  <c r="G10" i="1"/>
  <c r="F10" i="1"/>
  <c r="E10" i="1"/>
  <c r="D10" i="1"/>
  <c r="L9" i="1"/>
  <c r="K9" i="1"/>
  <c r="J9" i="1"/>
  <c r="I9" i="1"/>
  <c r="G9" i="1"/>
  <c r="F9" i="1"/>
  <c r="E9" i="1"/>
  <c r="D9" i="1"/>
  <c r="L8" i="1"/>
  <c r="K8" i="1"/>
  <c r="J8" i="1"/>
  <c r="I8" i="1"/>
  <c r="G8" i="1"/>
  <c r="F8" i="1"/>
  <c r="E8" i="1"/>
  <c r="D8" i="1"/>
  <c r="D7" i="1"/>
  <c r="H3" i="1"/>
  <c r="F3" i="1"/>
  <c r="G7" i="1" l="1"/>
  <c r="K7" i="1" s="1"/>
  <c r="E7" i="1"/>
  <c r="I7" i="1" s="1"/>
  <c r="F7" i="1"/>
  <c r="J7" i="1" s="1"/>
  <c r="L7" i="1" l="1"/>
  <c r="L20" i="1" s="1"/>
</calcChain>
</file>

<file path=xl/sharedStrings.xml><?xml version="1.0" encoding="utf-8"?>
<sst xmlns="http://schemas.openxmlformats.org/spreadsheetml/2006/main" count="308" uniqueCount="160">
  <si>
    <t>误餐补贴申请明细表（BẢNG KÊ PHỤ CẤP TIỀN ĂN）</t>
  </si>
  <si>
    <t>赵毓钊</t>
  </si>
  <si>
    <t>Hà Nội（河内）核心区</t>
  </si>
  <si>
    <t>2026/8/5</t>
  </si>
  <si>
    <t>vlookup</t>
  </si>
  <si>
    <t>VND</t>
  </si>
  <si>
    <t>TP.HCM（胡志明市）核心区</t>
  </si>
  <si>
    <t>Hà Nội（河内）主城区</t>
  </si>
  <si>
    <t>TP.HCM（胡志明市）主城区</t>
  </si>
  <si>
    <t>Hải Phòng（海防）主城区</t>
  </si>
  <si>
    <t>USD</t>
  </si>
  <si>
    <t>Hải Dương（海阳）</t>
  </si>
  <si>
    <t>Đà Nẵng（岘港）主城区</t>
  </si>
  <si>
    <t>Tam Kỳ（三岐·广南）</t>
  </si>
  <si>
    <t>Hội An（会安·广南）</t>
  </si>
  <si>
    <t>Huế（顺化）主城区</t>
  </si>
  <si>
    <t>Cần Thơ（芹苴）主城区</t>
  </si>
  <si>
    <t>Biên Hòa（边和·同奈市）</t>
  </si>
  <si>
    <t>Long Xuyên（龙川·安江）</t>
  </si>
  <si>
    <t>Rạch Giá（迪石·安江）</t>
  </si>
  <si>
    <t>Bắc Ninh（北宁）</t>
  </si>
  <si>
    <t>Bắc Giang（北江·北宁）</t>
  </si>
  <si>
    <t>Hạ Long（下龙·广宁）</t>
  </si>
  <si>
    <t>Móng Cái（芒街·广宁）</t>
  </si>
  <si>
    <t>Nha Trang（芽庄·庆和）</t>
  </si>
  <si>
    <t>Thanh Hóa（清化）</t>
  </si>
  <si>
    <t>Vinh（荣市·乂安）</t>
  </si>
  <si>
    <t>Ninh Bình（宁平）</t>
  </si>
  <si>
    <t>Nam Định（南定·宁平）</t>
  </si>
  <si>
    <t>Vĩnh Long（永隆）</t>
  </si>
  <si>
    <t>Bến Tre（槟知·永隆）</t>
  </si>
  <si>
    <t>Cao Lãnh（高岭·同塔）</t>
  </si>
  <si>
    <t>Mỹ Tho（美荻·同塔）</t>
  </si>
  <si>
    <t>Đà Lạt（大叻·林同）</t>
  </si>
  <si>
    <t>Phan Thiết（潘切·林同）</t>
  </si>
  <si>
    <t>Pleiku（波来古·嘉莱）</t>
  </si>
  <si>
    <t>Quy Nhơn（归仁·嘉莱）</t>
  </si>
  <si>
    <t>Buôn Ma Thuột（邦美蜀·得乐）</t>
  </si>
  <si>
    <t>Hưng Yên（兴安）</t>
  </si>
  <si>
    <t>Thái Bình（太平·兴安）</t>
  </si>
  <si>
    <t>Việt Trì（越池·富寿）</t>
  </si>
  <si>
    <t>Vĩnh Yên（永福·富寿）</t>
  </si>
  <si>
    <t>Thái Nguyên（太原）</t>
  </si>
  <si>
    <t>Lào Cai（老街）</t>
  </si>
  <si>
    <t>Lạng Sơn（谅山）</t>
  </si>
  <si>
    <t>Hà Tĩnh（河静）</t>
  </si>
  <si>
    <t>Quảng Ngãi（广义）</t>
  </si>
  <si>
    <t>Tây Ninh（西宁）</t>
  </si>
  <si>
    <t>Cà Mau（金瓯）</t>
  </si>
  <si>
    <t>Quảng Trị（广治）</t>
  </si>
  <si>
    <t>Cao Bằng（高平）</t>
  </si>
  <si>
    <t>Lai Châu（莱州）</t>
  </si>
  <si>
    <t>Điện Biên（奠边）</t>
  </si>
  <si>
    <t>Sơn La（山罗）</t>
  </si>
  <si>
    <t>Tuyên Quang（宣光）</t>
  </si>
  <si>
    <t>填写说明：先选「出差类别」→ 再选「出差地点」（自动带出标准金额）→ 明细行填日期与起止时间（自动判定可报餐次）。「是否招待」列：该餐为业务招待时下拉选择对应餐次（可多选），实报自动归零，与误餐补贴互斥。黄色单元格为自动计算，请勿手改。
⚠️ 误餐规则（2026-08-05征集意见定稿）：①当日已报销"业务招待费-餐费"的餐次或被合作方招待，不再给予对应餐次误餐补贴（"是否招待"列须如实勾选）；②误餐时间须按实际门禁进出记录填写，严禁虚报；财务部审核将抽检门禁记录，虚报按管理办法第6章处理；③当日出差仅报销误餐补贴的，报销时仅需出差审批记录，不需出入打卡证明；④返程过晚直接回家未回公司签退的，以部门总监签字确认为准（本表签字栏）。
Hướng dẫn điền: Trước tiên chọn “Loại công tác” → sau đó chọn “Địa điểm công tác” (mức tiêu chuẩn sẽ tự động hiển thị) → tại từng dòng chi tiết, điền ngày, giờ xuất phát và giờ trở lại (hệ thống tự động xác định bữa ăn được thanh toán). Tại cột “Có được chiêu đãi hay không”, nếu bữa ăn thuộc chi phí tiếp khách thì chọn bữa ăn tương ứng từ danh sách thả xuống (có thể chọn nhiều); số tiền thanh toán thực tế sẽ tự động về 0 và không được hưởng đồng thời với phụ cấp tiền ăn. Các ô màu vàng được tính tự động, vui lòng không chỉnh sửa thủ công.
⚠️ Quy định về phụ cấp tiền ăn (bản hoàn thiện sau khi lấy ý kiến ngày 05/08/2026): ① Bữa ăn trong ngày đã được thanh toán “chi phí tiếp khách - tiền ăn” hoặc do đối tác chiêu đãi sẽ không được hưởng phụ cấp tiền ăn tương ứng (phải đánh dấu trung thực tại cột “Có được chiêu đãi hay không”); ② Thời gian tính phụ cấp phải được điền theo dữ liệu ra vào cổng thực tế, nghiêm cấm khai báo sai; Phòng Tài chính sẽ kiểm tra ngẫu nhiên dữ liệu ra vào cổng, trường hợp khai báo sai sẽ bị xử lý theo Chương 6 của Quy định; ③ Nếu trong ngày công tác chỉ đề nghị thanh toán phụ cấp tiền ăn, khi thanh toán chỉ cần hồ sơ phê duyệt công tác, không cần chứng minh chấm công ra vào; ④ Trường hợp trở về quá muộn, về thẳng nhà và không quay lại công ty chấm công ra về, căn cứ xác nhận có chữ ký của Giám đốc bộ phận (tại phần ký tên trong biểu này).</t>
  </si>
  <si>
    <t>申请人
Người đề nghị</t>
  </si>
  <si>
    <t>员工编号
Mã nhân viên</t>
  </si>
  <si>
    <t>部门
Bộ phận</t>
  </si>
  <si>
    <t>财务部
Phòng Tài chính</t>
  </si>
  <si>
    <t>职级
Cấp bậc</t>
  </si>
  <si>
    <t>经理
Quản lý</t>
  </si>
  <si>
    <t>出差类别
Loại công tác</t>
  </si>
  <si>
    <t>国内
Trong nước</t>
  </si>
  <si>
    <t>出差地点
Địa điểm công tác</t>
  </si>
  <si>
    <t>等级/档位
Cấp/mức</t>
  </si>
  <si>
    <t>币别
Loại tiền tệ</t>
  </si>
  <si>
    <t>误餐补贴申请明细（按出差日期逐行填写）
Chi tiết đề nghị phụ cấp tiền ăn (điền từng dòng theo ngày công tác)</t>
  </si>
  <si>
    <t>日期
Ngày</t>
  </si>
  <si>
    <t>出发时间
Giờ xuất phát</t>
  </si>
  <si>
    <t>返岗时间
Giờ trở lại làm việc</t>
  </si>
  <si>
    <t>在外时长(h)
Thời gian bên ngoài (giờ)</t>
  </si>
  <si>
    <t>早餐标准
Mức bữa sáng</t>
  </si>
  <si>
    <t>午餐标准
Mức bữa trưa</t>
  </si>
  <si>
    <t>晚餐标准
Mức bữa tối</t>
  </si>
  <si>
    <t>是否招待
Có được chiêu đãi</t>
  </si>
  <si>
    <t>早餐实报
Mức thanh toán bữa sáng</t>
  </si>
  <si>
    <t>午餐实报
Mức thanh toán bữa trưa</t>
  </si>
  <si>
    <t>晚餐实报
Mức thanh toán bữa tối</t>
  </si>
  <si>
    <t>当日合计
Tổng trong ngày</t>
  </si>
  <si>
    <t>备注
Ghi chú</t>
  </si>
  <si>
    <t>无
Không</t>
  </si>
  <si>
    <t>示例：9:00出发-14:00返回→早餐不可报(超8:00)、午餐可报、晚餐不可报(14:00&lt;17:00)。示例行删除即可。
Ví dụ: Xuất phát lúc 9:00, trở về lúc 14:00 → không được thanh toán bữa sáng (sau 8:00), được thanh toán bữa trưa, không được thanh toán bữa tối (14:00 &lt; 17:00). Có thể xóa dòng ví dụ này.</t>
  </si>
  <si>
    <t>汇总（按币别）
Tổng hợp (theo loại tiền tệ)</t>
  </si>
  <si>
    <t>VND 合计(₫）
Tổng VND (₫)</t>
  </si>
  <si>
    <t>合规声明：①本人确认本次申报的误餐补贴与实际出差行程一致，同一餐次未重复报销业务招待费/未领取公司供餐/无被招待情形；如有虚报、多报，自愿按《越南差旅费管理办法》第5条接受3倍罚款处理。
                    ②部门总监确认本“误餐补贴申请明细表”与申请人实际情况一致，如发现虚报、多报，部门总监受连带3倍罚款处理； ②误餐时间均依据实际门禁进出记录填写，如有虚报愿接受公司处理。
Cam kết tuân thủ: ① Tôi xác nhận khoản phụ cấp tiền ăn đề nghị lần này phù hợp với hành trình công tác thực tế; cùng một bữa ăn không được thanh toán trùng chi phí tiếp khách/không nhận suất ăn do công ty cung cấp/không được bên khác chiêu đãi; nếu khai khống hoặc khai vượt mức, tôi tự nguyện chịu phạt gấp 3 lần theo Điều 5 của “Quy định quản lý chi phí công tác tại Việt Nam”.
② Giám đốc bộ phận xác nhận “Bảng chi tiết đề nghị phụ cấp tiền ăn” này phù hợp với tình hình thực tế của người đề nghị; nếu phát hiện khai khống hoặc khai vượt mức, Giám đốc bộ phận chịu trách nhiệm liên đới và bị phạt gấp 3 lần; ② Thời gian tính phụ cấp tiền ăn đều được điền theo dữ liệu ra vào cổng thực tế; nếu khai báo sai, tôi chấp nhận sự xử lý của công ty.</t>
  </si>
  <si>
    <t>申请人签字：
Chữ ký người đề nghị:</t>
  </si>
  <si>
    <t>日期：
Ngày:</t>
  </si>
  <si>
    <t>部门总监签字：
Chữ ký Giám đốc bộ phận:</t>
  </si>
  <si>
    <t>误餐补贴标准表（数据源，勿改）
BẢNG TIÊU CHUẨN PHỤ CẤP TIỀN ĂN (NGUỒN DỮ LIỆU, KHÔNG CHỈNH SỬA)</t>
  </si>
  <si>
    <t>城市等级对照（34省级行政单位·差旅分类）※2026-08-06 修订
Bảng đối chiếu cấp đô thị (34 đơn vị hành chính cấp tỉnh · phân loại công tác) ※ Sửa đổi ngày 06/08/2026</t>
  </si>
  <si>
    <t>等级
Cấp</t>
  </si>
  <si>
    <t>餐次判定规则参数（可按征集意见调整）
Tham số xác định bữa ăn (có thể điều chỉnh theo ý kiến góp ý)</t>
  </si>
  <si>
    <t>类别
Phân loại</t>
  </si>
  <si>
    <t>匹配键
Khóa đối chiếu</t>
  </si>
  <si>
    <t>早餐
Bữa sáng</t>
  </si>
  <si>
    <t>午餐
Bữa trưa</t>
  </si>
  <si>
    <t>晚餐
Bữa tối</t>
  </si>
  <si>
    <t>合计
Tổng cộng</t>
  </si>
  <si>
    <t>城市
Thành phố</t>
  </si>
  <si>
    <t>早餐截止时点
Thời điểm chốt bữa sáng</t>
  </si>
  <si>
    <t>出发时间 ≤ 此时点 → 可报早餐
Giờ xuất phát ≤ thời điểm này → được thanh toán bữa sáng</t>
  </si>
  <si>
    <t>市内
Trong khu vực</t>
  </si>
  <si>
    <t>同奈仁泽
Nhơn Trạch, Đồng Nai</t>
  </si>
  <si>
    <t>一类城市
Thành phố loại I</t>
  </si>
  <si>
    <t>午餐起始时点
Thời điểm bắt đầu tính bữa trưa</t>
  </si>
  <si>
    <t>返岗时间 ≥ 此时点 → 可报午餐
Giờ trở lại làm việc ≥ thời điểm này → được thanh toán bữa trưa</t>
  </si>
  <si>
    <t>西宁展鹏
Công ty tại Trảng Bàng, Tây Ninh</t>
  </si>
  <si>
    <t>晚餐起始时点
Thời điểm bắt đầu tính bữa tối</t>
  </si>
  <si>
    <t>返岗时间 ≥ 此时点 → 可报晚餐
Giờ trở lại làm việc ≥ thời điểm này → được thanh toán bữa tối</t>
  </si>
  <si>
    <t>二类城市
Thành phố loại II</t>
  </si>
  <si>
    <t>全天往返阈值(小时)
Ngưỡng thời gian đi và về trong ngày (giờ)</t>
  </si>
  <si>
    <t>当天往返时长 &gt; 此值 → 三餐全额
Tổng thời gian đi và về trong ngày &gt; giá trị này → được hưởng đủ ba bữa</t>
  </si>
  <si>
    <t>三类城市
Thành phố loại III</t>
  </si>
  <si>
    <t>国际
Quốc tế</t>
  </si>
  <si>
    <t>韩国
Hàn Quốc</t>
  </si>
  <si>
    <t>日本
Nhật Bản</t>
  </si>
  <si>
    <t>新加坡
Singapore</t>
  </si>
  <si>
    <t>卡塔尔
Qatar</t>
  </si>
  <si>
    <t>伊拉克
Iraq</t>
  </si>
  <si>
    <t>科威特
Kuwait</t>
  </si>
  <si>
    <t>阿联酋
Các Tiểu vương quốc Ả Rập Thống nhất</t>
  </si>
  <si>
    <t>也门
Yemen</t>
  </si>
  <si>
    <t>阿曼
Oman</t>
  </si>
  <si>
    <t>沙特阿拉伯
Ả Rập Xê Út</t>
  </si>
  <si>
    <t>巴林
Bahrain</t>
  </si>
  <si>
    <t>以色列
Israel</t>
  </si>
  <si>
    <t>巴勒斯坦
Palestine</t>
  </si>
  <si>
    <t>文莱
Brunei</t>
  </si>
  <si>
    <t>东帝汶
Timor-Leste</t>
  </si>
  <si>
    <t>印尼
Indonesia</t>
  </si>
  <si>
    <t>其他亚洲国家
Các quốc gia châu Á khác</t>
  </si>
  <si>
    <t>德国
Đức</t>
  </si>
  <si>
    <t>荷兰
Hà Lan</t>
  </si>
  <si>
    <t>意大利
Ý</t>
  </si>
  <si>
    <t>比利时
Bỉ</t>
  </si>
  <si>
    <t>奥地利
Áo</t>
  </si>
  <si>
    <t>希腊
Hy Lạp</t>
  </si>
  <si>
    <t>法国
Pháp</t>
  </si>
  <si>
    <t>西班牙
Tây Ban Nha</t>
  </si>
  <si>
    <t>卢森堡
Luxembourg</t>
  </si>
  <si>
    <t>爱尔兰
Ai-len</t>
  </si>
  <si>
    <t>葡萄牙
Bồ Đào Nha</t>
  </si>
  <si>
    <t>芬兰
Phần Lan</t>
  </si>
  <si>
    <t>英国
Vương quốc Anh</t>
  </si>
  <si>
    <t>瑞典
Thụy Điển</t>
  </si>
  <si>
    <t>丹麦
Đan Mạch</t>
  </si>
  <si>
    <t>挪威
Na Uy</t>
  </si>
  <si>
    <t>瑞士
Thụy Sĩ</t>
  </si>
  <si>
    <t>冰岛
Iceland</t>
  </si>
  <si>
    <t>其他欧洲国家
Các quốc gia châu Âu khác</t>
  </si>
  <si>
    <t>美国
Hoa Kỳ</t>
  </si>
  <si>
    <t>加拿大
Canada</t>
  </si>
  <si>
    <t>墨西哥
Mexico</t>
  </si>
  <si>
    <t>波多黎各
Puerto Rico</t>
  </si>
  <si>
    <t>多米尼加
Cộng hòa Dominica</t>
  </si>
  <si>
    <t>其他美洲国家
Các quốc gia châu Mỹ khác</t>
  </si>
  <si>
    <t>其他非洲国家
Các quốc gia châu Phi khác</t>
  </si>
  <si>
    <t>其他大洋洲国家
Các quốc gia châu Đại Dương khác</t>
  </si>
  <si>
    <t>其他区域（各省非省城/直辖市郊县等）
Khu vực khác (các khu vực không phải tỉnh lỵ/ngoại thành thành phố trực thuộc trung ương, v.v.)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</si>
</sst>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6" formatCode="_(* #,##0_);_(* \(#,##0\);_(* &quot;-&quot;??_);_(@_)"/>
    <numFmt numFmtId="177" formatCode="0.0"/>
    <numFmt numFmtId="178" formatCode="yyyy/m/d"/>
  </numFmts>
  <fonts count="18">
    <font>
      <sz val="11"/>
      <color theme="1"/>
      <name val="宋体"/>
      <family val="2"/>
      <scheme val="minor"/>
    </font>
    <font>
      <b/>
      <sz val="12"/>
      <color rgb="FF1F4E79"/>
      <name val="宋体"/>
      <family val="3"/>
      <charset val="134"/>
    </font>
    <font>
      <b/>
      <sz val="10"/>
      <color rgb="FF000000"/>
      <name val="Microsoft YaHei"/>
      <family val="2"/>
      <charset val="134"/>
    </font>
    <font>
      <sz val="10"/>
      <name val="Microsoft YaHei"/>
      <family val="2"/>
      <charset val="134"/>
    </font>
    <font>
      <b/>
      <sz val="10"/>
      <name val="Microsoft YaHei"/>
      <family val="2"/>
      <charset val="134"/>
    </font>
    <font>
      <sz val="9"/>
      <color rgb="FF808080"/>
      <name val="宋体"/>
      <family val="3"/>
      <charset val="134"/>
    </font>
    <font>
      <sz val="11"/>
      <color theme="1"/>
      <name val="宋体"/>
      <family val="2"/>
      <scheme val="minor"/>
    </font>
    <font>
      <sz val="9"/>
      <name val="宋体"/>
      <family val="3"/>
      <charset val="134"/>
      <scheme val="minor"/>
    </font>
    <font>
      <sz val="11"/>
      <color theme="1"/>
      <name val="Times New Roman"/>
      <family val="1"/>
    </font>
    <font>
      <b/>
      <sz val="10"/>
      <name val="Times New Roman"/>
      <family val="1"/>
    </font>
    <font>
      <b/>
      <sz val="10"/>
      <color rgb="FF000000"/>
      <name val="Times New Roman"/>
      <family val="1"/>
    </font>
    <font>
      <sz val="10"/>
      <name val="Times New Roman"/>
      <family val="1"/>
    </font>
    <font>
      <b/>
      <sz val="9"/>
      <name val="Times New Roman"/>
      <family val="1"/>
    </font>
    <font>
      <sz val="9"/>
      <color theme="1"/>
      <name val="Times New Roman"/>
      <family val="1"/>
    </font>
    <font>
      <sz val="8"/>
      <name val="Times New Roman"/>
      <family val="1"/>
    </font>
    <font>
      <sz val="9"/>
      <color rgb="FFC00000"/>
      <name val="Times New Roman"/>
      <family val="3"/>
      <charset val="134"/>
    </font>
    <font>
      <b/>
      <sz val="16"/>
      <name val="Times New Roman"/>
      <family val="1"/>
    </font>
    <font>
      <sz val="10"/>
      <name val="宋体"/>
      <family val="3"/>
      <charset val="134"/>
    </font>
  </fonts>
  <fills count="6">
    <fill>
      <patternFill patternType="none"/>
    </fill>
    <fill>
      <patternFill patternType="gray125"/>
    </fill>
    <fill>
      <patternFill patternType="solid">
        <fgColor rgb="FFD9E2F3"/>
      </patternFill>
    </fill>
    <fill>
      <patternFill patternType="solid">
        <fgColor rgb="FFFFFFFF"/>
      </patternFill>
    </fill>
    <fill>
      <patternFill patternType="solid">
        <fgColor rgb="FFFFF2CC"/>
      </patternFill>
    </fill>
    <fill>
      <patternFill patternType="solid">
        <fgColor rgb="FFE2EFDA"/>
      </patternFill>
    </fill>
  </fills>
  <borders count="4">
    <border>
      <left/>
      <right/>
      <top/>
      <bottom/>
      <diagonal/>
    </border>
    <border>
      <left style="thin">
        <color rgb="FF999999"/>
      </left>
      <right style="thin">
        <color rgb="FF999999"/>
      </right>
      <top style="thin">
        <color rgb="FF999999"/>
      </top>
      <bottom style="thin">
        <color rgb="FF999999"/>
      </bottom>
      <diagonal/>
    </border>
    <border>
      <left/>
      <right style="thin">
        <color rgb="FF999999"/>
      </right>
      <top/>
      <bottom/>
      <diagonal/>
    </border>
    <border>
      <left/>
      <right/>
      <top/>
      <bottom style="thin">
        <color auto="1"/>
      </bottom>
      <diagonal/>
    </border>
  </borders>
  <cellStyleXfs count="2">
    <xf numFmtId="0" fontId="0" fillId="0" borderId="0"/>
    <xf numFmtId="43" fontId="6" fillId="0" borderId="0">
      <alignment vertical="center"/>
    </xf>
  </cellStyleXfs>
  <cellXfs count="48">
    <xf numFmtId="0" fontId="0" fillId="0" borderId="0" xfId="0"/>
    <xf numFmtId="0" fontId="2" fillId="2" borderId="1" xfId="0" applyFont="1" applyFill="1" applyBorder="1" applyAlignment="1">
      <alignment horizontal="center" vertical="center" wrapText="1"/>
    </xf>
    <xf numFmtId="20" fontId="0" fillId="0" borderId="1" xfId="0" applyNumberFormat="1" applyBorder="1" applyAlignment="1">
      <alignment horizontal="center" vertical="center" wrapText="1"/>
    </xf>
    <xf numFmtId="0" fontId="5"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176" fontId="0" fillId="0" borderId="0" xfId="1" applyNumberFormat="1" applyFont="1" applyAlignment="1"/>
    <xf numFmtId="176" fontId="2" fillId="2" borderId="1" xfId="1" applyNumberFormat="1" applyFont="1" applyFill="1" applyBorder="1" applyAlignment="1">
      <alignment horizontal="center" vertical="center" wrapText="1"/>
    </xf>
    <xf numFmtId="176" fontId="3" fillId="0" borderId="1" xfId="1" applyNumberFormat="1" applyFont="1" applyBorder="1" applyAlignment="1">
      <alignment horizontal="center" vertical="center" wrapText="1"/>
    </xf>
    <xf numFmtId="0" fontId="8" fillId="0" borderId="0" xfId="0" applyFont="1"/>
    <xf numFmtId="0" fontId="10" fillId="2" borderId="1" xfId="0" applyFont="1" applyFill="1" applyBorder="1" applyAlignment="1">
      <alignment horizontal="center" vertical="center" wrapText="1"/>
    </xf>
    <xf numFmtId="177" fontId="11" fillId="4" borderId="1" xfId="0" applyNumberFormat="1" applyFont="1" applyFill="1" applyBorder="1" applyAlignment="1">
      <alignment horizontal="center" vertical="center" wrapText="1"/>
    </xf>
    <xf numFmtId="3" fontId="11" fillId="4" borderId="1" xfId="0" applyNumberFormat="1" applyFont="1" applyFill="1" applyBorder="1" applyAlignment="1">
      <alignment horizontal="center" vertical="center" wrapText="1"/>
    </xf>
    <xf numFmtId="0" fontId="11" fillId="3"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0" borderId="0" xfId="0" applyFont="1"/>
    <xf numFmtId="0" fontId="11" fillId="0" borderId="0" xfId="0" applyFont="1"/>
    <xf numFmtId="0" fontId="12"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3" fontId="8" fillId="0" borderId="1" xfId="0" applyNumberFormat="1" applyFont="1" applyBorder="1" applyAlignment="1">
      <alignment vertical="center"/>
    </xf>
    <xf numFmtId="0" fontId="8" fillId="0" borderId="0" xfId="0" applyFont="1" applyAlignment="1">
      <alignment horizontal="center" vertical="center"/>
    </xf>
    <xf numFmtId="0" fontId="8" fillId="0" borderId="0" xfId="0" applyFont="1" applyAlignment="1">
      <alignment horizontal="center"/>
    </xf>
    <xf numFmtId="0" fontId="13" fillId="3" borderId="1" xfId="0" applyFont="1" applyFill="1" applyBorder="1" applyAlignment="1" applyProtection="1">
      <alignment horizontal="center" vertical="center" wrapText="1"/>
      <protection locked="0"/>
    </xf>
    <xf numFmtId="178" fontId="11" fillId="0" borderId="1" xfId="0" applyNumberFormat="1" applyFont="1" applyBorder="1" applyAlignment="1" applyProtection="1">
      <alignment horizontal="center" vertical="center"/>
      <protection locked="0"/>
    </xf>
    <xf numFmtId="20" fontId="11" fillId="3" borderId="1" xfId="0" applyNumberFormat="1"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wrapText="1"/>
      <protection locked="0"/>
    </xf>
    <xf numFmtId="0" fontId="17" fillId="0" borderId="3" xfId="0" applyFont="1" applyBorder="1" applyAlignment="1">
      <alignment vertical="center"/>
    </xf>
    <xf numFmtId="20" fontId="11" fillId="3" borderId="1" xfId="0" applyNumberFormat="1" applyFont="1" applyFill="1" applyBorder="1" applyAlignment="1" applyProtection="1">
      <alignment horizontal="center" vertical="center" wrapText="1"/>
      <protection locked="0"/>
    </xf>
    <xf numFmtId="0" fontId="1" fillId="0" borderId="0" xfId="0" applyFont="1" applyAlignment="1">
      <alignment wrapText="1"/>
    </xf>
    <xf numFmtId="0" fontId="0" fillId="0" borderId="0" xfId="0" applyAlignment="1">
      <alignment wrapText="1"/>
    </xf>
    <xf numFmtId="0" fontId="4" fillId="0" borderId="1" xfId="0" applyFont="1" applyBorder="1" applyAlignment="1">
      <alignment wrapText="1"/>
    </xf>
    <xf numFmtId="0" fontId="17" fillId="0" borderId="3" xfId="0" applyFont="1" applyBorder="1" applyAlignment="1">
      <alignment vertical="center" wrapText="1"/>
    </xf>
    <xf numFmtId="0" fontId="14" fillId="3" borderId="1" xfId="0" applyFont="1" applyFill="1" applyBorder="1" applyAlignment="1" applyProtection="1">
      <alignment horizontal="left" vertical="center" wrapText="1"/>
      <protection locked="0"/>
    </xf>
    <xf numFmtId="0" fontId="8" fillId="0" borderId="0" xfId="0" applyFont="1" applyAlignment="1">
      <alignment vertical="center"/>
    </xf>
    <xf numFmtId="0" fontId="11" fillId="0" borderId="0" xfId="0" applyFont="1" applyAlignment="1">
      <alignment vertical="center" wrapText="1"/>
    </xf>
    <xf numFmtId="0" fontId="4" fillId="0" borderId="0" xfId="0" applyFont="1" applyAlignment="1">
      <alignment horizontal="left" vertical="center" wrapText="1"/>
    </xf>
    <xf numFmtId="0" fontId="9" fillId="0" borderId="0" xfId="0" applyFont="1" applyAlignment="1">
      <alignment horizontal="left" vertical="center" wrapText="1"/>
    </xf>
    <xf numFmtId="0" fontId="16" fillId="0" borderId="0" xfId="0" applyFont="1" applyAlignment="1">
      <alignment horizontal="center" vertical="center" wrapText="1"/>
    </xf>
    <xf numFmtId="0" fontId="8" fillId="0" borderId="0" xfId="0" applyFont="1"/>
    <xf numFmtId="0" fontId="0" fillId="0" borderId="0" xfId="0"/>
    <xf numFmtId="0" fontId="15" fillId="0" borderId="0" xfId="0" applyFont="1" applyAlignment="1">
      <alignment horizontal="left" vertical="top" wrapText="1"/>
    </xf>
    <xf numFmtId="0" fontId="8" fillId="0" borderId="0" xfId="0" applyFont="1" applyAlignment="1">
      <alignment vertical="top"/>
    </xf>
    <xf numFmtId="0" fontId="0" fillId="0" borderId="0" xfId="0" applyAlignment="1">
      <alignment vertical="top"/>
    </xf>
    <xf numFmtId="0" fontId="9" fillId="5" borderId="2" xfId="0" applyFont="1" applyFill="1" applyBorder="1" applyAlignment="1">
      <alignment horizontal="left" vertical="center" wrapText="1"/>
    </xf>
    <xf numFmtId="0" fontId="0" fillId="0" borderId="2" xfId="0" applyBorder="1"/>
    <xf numFmtId="0" fontId="15" fillId="0" borderId="0" xfId="0" applyFont="1" applyAlignment="1">
      <alignment horizontal="left"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6"/>
  <sheetViews>
    <sheetView tabSelected="1" view="pageBreakPreview" zoomScaleNormal="94" zoomScaleSheetLayoutView="100" workbookViewId="0">
      <selection activeCell="J7" sqref="J7"/>
    </sheetView>
  </sheetViews>
  <sheetFormatPr defaultColWidth="8.7265625" defaultRowHeight="14.5"/>
  <cols>
    <col min="1" max="1" width="12" style="10" customWidth="1"/>
    <col min="2" max="2" width="9.81640625" style="10" customWidth="1"/>
    <col min="3" max="3" width="10.90625" style="10" customWidth="1"/>
    <col min="4" max="4" width="12.36328125" style="10" customWidth="1"/>
    <col min="5" max="5" width="13.6328125" style="10" customWidth="1"/>
    <col min="6" max="6" width="11.7265625" style="10" customWidth="1"/>
    <col min="7" max="7" width="11" style="10" customWidth="1"/>
    <col min="8" max="8" width="11.1796875" customWidth="1"/>
    <col min="9" max="9" width="11" style="10" customWidth="1"/>
    <col min="10" max="10" width="13.453125" style="10" customWidth="1"/>
    <col min="11" max="11" width="13.1796875" style="10" customWidth="1"/>
    <col min="12" max="12" width="11.1796875" style="10" customWidth="1"/>
    <col min="13" max="13" width="30" style="10" customWidth="1"/>
    <col min="14" max="15" width="8.7265625" style="10" customWidth="1"/>
    <col min="16" max="16384" width="8.7265625" style="10"/>
  </cols>
  <sheetData>
    <row r="1" spans="1:13" ht="22" customHeight="1">
      <c r="A1" s="39" t="s">
        <v>0</v>
      </c>
      <c r="B1" s="40"/>
      <c r="C1" s="40"/>
      <c r="D1" s="40"/>
      <c r="E1" s="40"/>
      <c r="F1" s="40"/>
      <c r="G1" s="40"/>
      <c r="H1" s="41"/>
      <c r="I1" s="40"/>
      <c r="J1" s="40"/>
      <c r="K1" s="40"/>
      <c r="L1" s="40"/>
      <c r="M1" s="40"/>
    </row>
    <row r="2" spans="1:13" ht="23">
      <c r="A2" s="18" t="s">
        <v>56</v>
      </c>
      <c r="B2" s="19" t="s">
        <v>1</v>
      </c>
      <c r="C2" s="18" t="s">
        <v>57</v>
      </c>
      <c r="D2" s="19">
        <v>26070326</v>
      </c>
      <c r="E2" s="18" t="s">
        <v>58</v>
      </c>
      <c r="F2" s="19" t="s">
        <v>59</v>
      </c>
      <c r="G2" s="18" t="s">
        <v>60</v>
      </c>
      <c r="H2" s="19" t="s">
        <v>61</v>
      </c>
    </row>
    <row r="3" spans="1:13" ht="34.5">
      <c r="A3" s="18" t="s">
        <v>62</v>
      </c>
      <c r="B3" s="24" t="s">
        <v>63</v>
      </c>
      <c r="C3" s="18" t="s">
        <v>64</v>
      </c>
      <c r="D3" s="24" t="s">
        <v>2</v>
      </c>
      <c r="E3" s="18" t="s">
        <v>65</v>
      </c>
      <c r="F3" s="20" t="str">
        <f>IF($B$3="","",IF(LEFT($B$3,FIND(CHAR(10),$B$3&amp;CHAR(10))-1)="市内",$D$3,IF(LEFT($B$3,FIND(CHAR(10),$B$3&amp;CHAR(10))-1)="国内",IFERROR(VLOOKUP($D$3,城市等级表,2,FALSE),""),$D$3)))</f>
        <v>一类城市
Thành phố loại I</v>
      </c>
      <c r="G3" s="18" t="s">
        <v>66</v>
      </c>
      <c r="H3" s="20" t="str">
        <f>IF(LEFT($B$3,FIND(CHAR(10),$B$3&amp;CHAR(10))-1)="国际","USD","VND")</f>
        <v>VND</v>
      </c>
    </row>
    <row r="5" spans="1:13" ht="28" customHeight="1">
      <c r="A5" s="38" t="s">
        <v>67</v>
      </c>
      <c r="B5" s="40"/>
      <c r="C5" s="40"/>
      <c r="D5" s="40"/>
      <c r="E5" s="40"/>
      <c r="F5" s="40"/>
      <c r="G5" s="40"/>
      <c r="H5" s="41"/>
      <c r="I5" s="40"/>
      <c r="J5" s="40"/>
      <c r="K5" s="40"/>
      <c r="L5" s="40"/>
      <c r="M5" s="40"/>
    </row>
    <row r="6" spans="1:13" ht="58" customHeight="1">
      <c r="A6" s="11" t="s">
        <v>68</v>
      </c>
      <c r="B6" s="11" t="s">
        <v>69</v>
      </c>
      <c r="C6" s="11" t="s">
        <v>70</v>
      </c>
      <c r="D6" s="11" t="s">
        <v>71</v>
      </c>
      <c r="E6" s="11" t="s">
        <v>72</v>
      </c>
      <c r="F6" s="11" t="s">
        <v>73</v>
      </c>
      <c r="G6" s="11" t="s">
        <v>74</v>
      </c>
      <c r="H6" s="11" t="s">
        <v>75</v>
      </c>
      <c r="I6" s="1" t="s">
        <v>76</v>
      </c>
      <c r="J6" s="1" t="s">
        <v>77</v>
      </c>
      <c r="K6" s="1" t="s">
        <v>78</v>
      </c>
      <c r="L6" s="11" t="s">
        <v>79</v>
      </c>
      <c r="M6" s="11" t="s">
        <v>80</v>
      </c>
    </row>
    <row r="7" spans="1:13" s="22" customFormat="1" ht="30" customHeight="1">
      <c r="A7" s="25" t="s">
        <v>3</v>
      </c>
      <c r="B7" s="26">
        <v>0.75</v>
      </c>
      <c r="C7" s="26">
        <v>0.83333333333333337</v>
      </c>
      <c r="D7" s="12">
        <f t="shared" ref="D7:D19" si="0">IF(OR($B7="",$C7=""),"",($C7-$B7+IF($C7&lt;$B7,1,0))*24)</f>
        <v>2.0000000000000009</v>
      </c>
      <c r="E7" s="13">
        <f>IF($B7="","",IFERROR(VLOOKUP(LEFT($B$3,FIND(CHAR(10),$B$3&amp;CHAR(10))-1)&amp;LEFT($F$3,FIND(CHAR(10),$F$3&amp;CHAR(10))-1)&amp;CHAR(10)&amp;MID($B$3,FIND(CHAR(10),$B$3&amp;CHAR(10))+1,999)&amp;" - "&amp;MID($F$3,FIND(CHAR(10),$F$3&amp;CHAR(10))+1,999),标准与参数!$C$2:$H$51,2,FALSE),""))</f>
        <v>80000</v>
      </c>
      <c r="F7" s="13">
        <f>IF($B7="","",IFERROR(VLOOKUP(LEFT($B$3,FIND(CHAR(10),$B$3&amp;CHAR(10))-1)&amp;LEFT($F$3,FIND(CHAR(10),$F$3&amp;CHAR(10))-1)&amp;CHAR(10)&amp;MID($B$3,FIND(CHAR(10),$B$3&amp;CHAR(10))+1,999)&amp;" - "&amp;MID($F$3,FIND(CHAR(10),$F$3&amp;CHAR(10))+1,999),标准与参数!$C$2:$H$51,3,FALSE),""))</f>
        <v>160000</v>
      </c>
      <c r="G7" s="13">
        <f>IF($B7="","",IFERROR(VLOOKUP(LEFT($B$3,FIND(CHAR(10),$B$3&amp;CHAR(10))-1)&amp;LEFT($F$3,FIND(CHAR(10),$F$3&amp;CHAR(10))-1)&amp;CHAR(10)&amp;MID($B$3,FIND(CHAR(10),$B$3&amp;CHAR(10))+1,999)&amp;" - "&amp;MID($F$3,FIND(CHAR(10),$F$3&amp;CHAR(10))+1,999),标准与参数!$C$2:$H$51,4,FALSE),""))</f>
        <v>160000</v>
      </c>
      <c r="H7" s="29" t="s">
        <v>81</v>
      </c>
      <c r="I7" s="13">
        <f t="shared" ref="I7:I19" si="1">IF($B7="","",IF(ISNUMBER(FIND("早餐",$H7)),0,IF($D7&gt;十二小时,$E7,IF($B7&lt;=早截止,$E7,0))))</f>
        <v>0</v>
      </c>
      <c r="J7" s="13">
        <f t="shared" ref="J7:J19" si="2">IF($B7="","",IF(ISNUMBER(FIND("午餐",$H7)),0,IF($D7&gt;十二小时,$F7,IF($C7&gt;=午起始,$F7,0))))</f>
        <v>160000</v>
      </c>
      <c r="K7" s="13">
        <f t="shared" ref="K7:K19" si="3">IF($B7="","",IF(ISNUMBER(FIND("晚餐",$H7)),0,IF($D7&gt;十二小时,$G7,IF($C7&gt;=晚起始,$G7,0))))</f>
        <v>160000</v>
      </c>
      <c r="L7" s="13">
        <f t="shared" ref="L7:L19" si="4">IF($B7="","",$I7+$J7+$K7)</f>
        <v>320000</v>
      </c>
      <c r="M7" s="34" t="s">
        <v>82</v>
      </c>
    </row>
    <row r="8" spans="1:13" s="23" customFormat="1" ht="20" customHeight="1">
      <c r="A8" s="25"/>
      <c r="B8" s="26"/>
      <c r="C8" s="26"/>
      <c r="D8" s="12" t="str">
        <f t="shared" si="0"/>
        <v/>
      </c>
      <c r="E8" s="13" t="str">
        <f>IF($B8="","",IFERROR(VLOOKUP(LEFT($B$3,FIND(CHAR(10),$B$3&amp;CHAR(10))-1)&amp;LEFT($F$3,FIND(CHAR(10),$F$3&amp;CHAR(10))-1)&amp;CHAR(10)&amp;MID($B$3,FIND(CHAR(10),$B$3&amp;CHAR(10))+1,999)&amp;" - "&amp;MID($F$3,FIND(CHAR(10),$F$3&amp;CHAR(10))+1,999),标准与参数!$C$2:$H$51,2,FALSE),""))</f>
        <v/>
      </c>
      <c r="F8" s="13" t="str">
        <f>IF($B8="","",IFERROR(VLOOKUP(LEFT($B$3,FIND(CHAR(10),$B$3&amp;CHAR(10))-1)&amp;LEFT($F$3,FIND(CHAR(10),$F$3&amp;CHAR(10))-1)&amp;CHAR(10)&amp;MID($B$3,FIND(CHAR(10),$B$3&amp;CHAR(10))+1,999)&amp;" - "&amp;MID($F$3,FIND(CHAR(10),$F$3&amp;CHAR(10))+1,999),标准与参数!$C$2:$H$51,3,FALSE),""))</f>
        <v/>
      </c>
      <c r="G8" s="13" t="str">
        <f>IF($B8="","",IFERROR(VLOOKUP(LEFT($B$3,FIND(CHAR(10),$B$3&amp;CHAR(10))-1)&amp;LEFT($F$3,FIND(CHAR(10),$F$3&amp;CHAR(10))-1)&amp;CHAR(10)&amp;MID($B$3,FIND(CHAR(10),$B$3&amp;CHAR(10))+1,999)&amp;" - "&amp;MID($F$3,FIND(CHAR(10),$F$3&amp;CHAR(10))+1,999),标准与参数!$C$2:$H$51,4,FALSE),""))</f>
        <v/>
      </c>
      <c r="H8" s="26"/>
      <c r="I8" s="13" t="str">
        <f t="shared" si="1"/>
        <v/>
      </c>
      <c r="J8" s="13" t="str">
        <f t="shared" si="2"/>
        <v/>
      </c>
      <c r="K8" s="13" t="str">
        <f t="shared" si="3"/>
        <v/>
      </c>
      <c r="L8" s="13" t="str">
        <f t="shared" si="4"/>
        <v/>
      </c>
      <c r="M8" s="27"/>
    </row>
    <row r="9" spans="1:13" s="23" customFormat="1" ht="20" customHeight="1">
      <c r="A9" s="25"/>
      <c r="B9" s="26"/>
      <c r="C9" s="26"/>
      <c r="D9" s="12" t="str">
        <f t="shared" si="0"/>
        <v/>
      </c>
      <c r="E9" s="13" t="str">
        <f>IF($B9="","",IFERROR(VLOOKUP(LEFT($B$3,FIND(CHAR(10),$B$3&amp;CHAR(10))-1)&amp;LEFT($F$3,FIND(CHAR(10),$F$3&amp;CHAR(10))-1)&amp;CHAR(10)&amp;MID($B$3,FIND(CHAR(10),$B$3&amp;CHAR(10))+1,999)&amp;" - "&amp;MID($F$3,FIND(CHAR(10),$F$3&amp;CHAR(10))+1,999),标准与参数!$C$2:$H$51,2,FALSE),""))</f>
        <v/>
      </c>
      <c r="F9" s="13" t="str">
        <f>IF($B9="","",IFERROR(VLOOKUP(LEFT($B$3,FIND(CHAR(10),$B$3&amp;CHAR(10))-1)&amp;LEFT($F$3,FIND(CHAR(10),$F$3&amp;CHAR(10))-1)&amp;CHAR(10)&amp;MID($B$3,FIND(CHAR(10),$B$3&amp;CHAR(10))+1,999)&amp;" - "&amp;MID($F$3,FIND(CHAR(10),$F$3&amp;CHAR(10))+1,999),标准与参数!$C$2:$H$51,3,FALSE),""))</f>
        <v/>
      </c>
      <c r="G9" s="13" t="str">
        <f>IF($B9="","",IFERROR(VLOOKUP(LEFT($B$3,FIND(CHAR(10),$B$3&amp;CHAR(10))-1)&amp;LEFT($F$3,FIND(CHAR(10),$F$3&amp;CHAR(10))-1)&amp;CHAR(10)&amp;MID($B$3,FIND(CHAR(10),$B$3&amp;CHAR(10))+1,999)&amp;" - "&amp;MID($F$3,FIND(CHAR(10),$F$3&amp;CHAR(10))+1,999),标准与参数!$C$2:$H$51,4,FALSE),""))</f>
        <v/>
      </c>
      <c r="H9" s="26"/>
      <c r="I9" s="13" t="str">
        <f t="shared" si="1"/>
        <v/>
      </c>
      <c r="J9" s="13" t="str">
        <f t="shared" si="2"/>
        <v/>
      </c>
      <c r="K9" s="13" t="str">
        <f t="shared" si="3"/>
        <v/>
      </c>
      <c r="L9" s="13" t="str">
        <f t="shared" si="4"/>
        <v/>
      </c>
      <c r="M9" s="27"/>
    </row>
    <row r="10" spans="1:13" s="23" customFormat="1" ht="20" customHeight="1">
      <c r="A10" s="25"/>
      <c r="B10" s="26"/>
      <c r="C10" s="26"/>
      <c r="D10" s="12" t="str">
        <f t="shared" si="0"/>
        <v/>
      </c>
      <c r="E10" s="13" t="str">
        <f>IF($B10="","",IFERROR(VLOOKUP(LEFT($B$3,FIND(CHAR(10),$B$3&amp;CHAR(10))-1)&amp;LEFT($F$3,FIND(CHAR(10),$F$3&amp;CHAR(10))-1)&amp;CHAR(10)&amp;MID($B$3,FIND(CHAR(10),$B$3&amp;CHAR(10))+1,999)&amp;" - "&amp;MID($F$3,FIND(CHAR(10),$F$3&amp;CHAR(10))+1,999),标准与参数!$C$2:$H$51,2,FALSE),""))</f>
        <v/>
      </c>
      <c r="F10" s="13" t="str">
        <f>IF($B10="","",IFERROR(VLOOKUP(LEFT($B$3,FIND(CHAR(10),$B$3&amp;CHAR(10))-1)&amp;LEFT($F$3,FIND(CHAR(10),$F$3&amp;CHAR(10))-1)&amp;CHAR(10)&amp;MID($B$3,FIND(CHAR(10),$B$3&amp;CHAR(10))+1,999)&amp;" - "&amp;MID($F$3,FIND(CHAR(10),$F$3&amp;CHAR(10))+1,999),标准与参数!$C$2:$H$51,3,FALSE),""))</f>
        <v/>
      </c>
      <c r="G10" s="13" t="str">
        <f>IF($B10="","",IFERROR(VLOOKUP(LEFT($B$3,FIND(CHAR(10),$B$3&amp;CHAR(10))-1)&amp;LEFT($F$3,FIND(CHAR(10),$F$3&amp;CHAR(10))-1)&amp;CHAR(10)&amp;MID($B$3,FIND(CHAR(10),$B$3&amp;CHAR(10))+1,999)&amp;" - "&amp;MID($F$3,FIND(CHAR(10),$F$3&amp;CHAR(10))+1,999),标准与参数!$C$2:$H$51,4,FALSE),""))</f>
        <v/>
      </c>
      <c r="H10" s="26"/>
      <c r="I10" s="13" t="str">
        <f t="shared" si="1"/>
        <v/>
      </c>
      <c r="J10" s="13" t="str">
        <f t="shared" si="2"/>
        <v/>
      </c>
      <c r="K10" s="13" t="str">
        <f t="shared" si="3"/>
        <v/>
      </c>
      <c r="L10" s="13" t="str">
        <f t="shared" si="4"/>
        <v/>
      </c>
      <c r="M10" s="27"/>
    </row>
    <row r="11" spans="1:13" s="23" customFormat="1" ht="20" customHeight="1">
      <c r="A11" s="25"/>
      <c r="B11" s="26"/>
      <c r="C11" s="26"/>
      <c r="D11" s="12" t="str">
        <f t="shared" si="0"/>
        <v/>
      </c>
      <c r="E11" s="13" t="str">
        <f>IF($B11="","",IFERROR(VLOOKUP(LEFT($B$3,FIND(CHAR(10),$B$3&amp;CHAR(10))-1)&amp;LEFT($F$3,FIND(CHAR(10),$F$3&amp;CHAR(10))-1)&amp;CHAR(10)&amp;MID($B$3,FIND(CHAR(10),$B$3&amp;CHAR(10))+1,999)&amp;" - "&amp;MID($F$3,FIND(CHAR(10),$F$3&amp;CHAR(10))+1,999),标准与参数!$C$2:$H$51,2,FALSE),""))</f>
        <v/>
      </c>
      <c r="F11" s="13" t="str">
        <f>IF($B11="","",IFERROR(VLOOKUP(LEFT($B$3,FIND(CHAR(10),$B$3&amp;CHAR(10))-1)&amp;LEFT($F$3,FIND(CHAR(10),$F$3&amp;CHAR(10))-1)&amp;CHAR(10)&amp;MID($B$3,FIND(CHAR(10),$B$3&amp;CHAR(10))+1,999)&amp;" - "&amp;MID($F$3,FIND(CHAR(10),$F$3&amp;CHAR(10))+1,999),标准与参数!$C$2:$H$51,3,FALSE),""))</f>
        <v/>
      </c>
      <c r="G11" s="13" t="str">
        <f>IF($B11="","",IFERROR(VLOOKUP(LEFT($B$3,FIND(CHAR(10),$B$3&amp;CHAR(10))-1)&amp;LEFT($F$3,FIND(CHAR(10),$F$3&amp;CHAR(10))-1)&amp;CHAR(10)&amp;MID($B$3,FIND(CHAR(10),$B$3&amp;CHAR(10))+1,999)&amp;" - "&amp;MID($F$3,FIND(CHAR(10),$F$3&amp;CHAR(10))+1,999),标准与参数!$C$2:$H$51,4,FALSE),""))</f>
        <v/>
      </c>
      <c r="H11" s="26"/>
      <c r="I11" s="13" t="str">
        <f t="shared" si="1"/>
        <v/>
      </c>
      <c r="J11" s="13" t="str">
        <f t="shared" si="2"/>
        <v/>
      </c>
      <c r="K11" s="13" t="str">
        <f t="shared" si="3"/>
        <v/>
      </c>
      <c r="L11" s="13" t="str">
        <f t="shared" si="4"/>
        <v/>
      </c>
      <c r="M11" s="27"/>
    </row>
    <row r="12" spans="1:13" s="23" customFormat="1" ht="20" customHeight="1">
      <c r="A12" s="25"/>
      <c r="B12" s="26"/>
      <c r="C12" s="26"/>
      <c r="D12" s="12" t="str">
        <f t="shared" si="0"/>
        <v/>
      </c>
      <c r="E12" s="13" t="str">
        <f>IF($B12="","",IFERROR(VLOOKUP(LEFT($B$3,FIND(CHAR(10),$B$3&amp;CHAR(10))-1)&amp;LEFT($F$3,FIND(CHAR(10),$F$3&amp;CHAR(10))-1)&amp;CHAR(10)&amp;MID($B$3,FIND(CHAR(10),$B$3&amp;CHAR(10))+1,999)&amp;" - "&amp;MID($F$3,FIND(CHAR(10),$F$3&amp;CHAR(10))+1,999),标准与参数!$C$2:$H$51,2,FALSE),""))</f>
        <v/>
      </c>
      <c r="F12" s="13" t="str">
        <f>IF($B12="","",IFERROR(VLOOKUP(LEFT($B$3,FIND(CHAR(10),$B$3&amp;CHAR(10))-1)&amp;LEFT($F$3,FIND(CHAR(10),$F$3&amp;CHAR(10))-1)&amp;CHAR(10)&amp;MID($B$3,FIND(CHAR(10),$B$3&amp;CHAR(10))+1,999)&amp;" - "&amp;MID($F$3,FIND(CHAR(10),$F$3&amp;CHAR(10))+1,999),标准与参数!$C$2:$H$51,3,FALSE),""))</f>
        <v/>
      </c>
      <c r="G12" s="13" t="str">
        <f>IF($B12="","",IFERROR(VLOOKUP(LEFT($B$3,FIND(CHAR(10),$B$3&amp;CHAR(10))-1)&amp;LEFT($F$3,FIND(CHAR(10),$F$3&amp;CHAR(10))-1)&amp;CHAR(10)&amp;MID($B$3,FIND(CHAR(10),$B$3&amp;CHAR(10))+1,999)&amp;" - "&amp;MID($F$3,FIND(CHAR(10),$F$3&amp;CHAR(10))+1,999),标准与参数!$C$2:$H$51,4,FALSE),""))</f>
        <v/>
      </c>
      <c r="H12" s="26"/>
      <c r="I12" s="13" t="str">
        <f t="shared" si="1"/>
        <v/>
      </c>
      <c r="J12" s="13" t="str">
        <f t="shared" si="2"/>
        <v/>
      </c>
      <c r="K12" s="13" t="str">
        <f t="shared" si="3"/>
        <v/>
      </c>
      <c r="L12" s="13" t="str">
        <f t="shared" si="4"/>
        <v/>
      </c>
      <c r="M12" s="27"/>
    </row>
    <row r="13" spans="1:13" s="23" customFormat="1" ht="20" customHeight="1">
      <c r="A13" s="25"/>
      <c r="B13" s="26"/>
      <c r="C13" s="26"/>
      <c r="D13" s="12" t="str">
        <f t="shared" si="0"/>
        <v/>
      </c>
      <c r="E13" s="13" t="str">
        <f>IF($B13="","",IFERROR(VLOOKUP(LEFT($B$3,FIND(CHAR(10),$B$3&amp;CHAR(10))-1)&amp;LEFT($F$3,FIND(CHAR(10),$F$3&amp;CHAR(10))-1)&amp;CHAR(10)&amp;MID($B$3,FIND(CHAR(10),$B$3&amp;CHAR(10))+1,999)&amp;" - "&amp;MID($F$3,FIND(CHAR(10),$F$3&amp;CHAR(10))+1,999),标准与参数!$C$2:$H$51,2,FALSE),""))</f>
        <v/>
      </c>
      <c r="F13" s="13" t="str">
        <f>IF($B13="","",IFERROR(VLOOKUP(LEFT($B$3,FIND(CHAR(10),$B$3&amp;CHAR(10))-1)&amp;LEFT($F$3,FIND(CHAR(10),$F$3&amp;CHAR(10))-1)&amp;CHAR(10)&amp;MID($B$3,FIND(CHAR(10),$B$3&amp;CHAR(10))+1,999)&amp;" - "&amp;MID($F$3,FIND(CHAR(10),$F$3&amp;CHAR(10))+1,999),标准与参数!$C$2:$H$51,3,FALSE),""))</f>
        <v/>
      </c>
      <c r="G13" s="13" t="str">
        <f>IF($B13="","",IFERROR(VLOOKUP(LEFT($B$3,FIND(CHAR(10),$B$3&amp;CHAR(10))-1)&amp;LEFT($F$3,FIND(CHAR(10),$F$3&amp;CHAR(10))-1)&amp;CHAR(10)&amp;MID($B$3,FIND(CHAR(10),$B$3&amp;CHAR(10))+1,999)&amp;" - "&amp;MID($F$3,FIND(CHAR(10),$F$3&amp;CHAR(10))+1,999),标准与参数!$C$2:$H$51,4,FALSE),""))</f>
        <v/>
      </c>
      <c r="H13" s="26"/>
      <c r="I13" s="13" t="str">
        <f t="shared" si="1"/>
        <v/>
      </c>
      <c r="J13" s="13" t="str">
        <f t="shared" si="2"/>
        <v/>
      </c>
      <c r="K13" s="13" t="str">
        <f t="shared" si="3"/>
        <v/>
      </c>
      <c r="L13" s="13" t="str">
        <f t="shared" si="4"/>
        <v/>
      </c>
      <c r="M13" s="27"/>
    </row>
    <row r="14" spans="1:13" s="23" customFormat="1" ht="20" customHeight="1">
      <c r="A14" s="25"/>
      <c r="B14" s="26"/>
      <c r="C14" s="26"/>
      <c r="D14" s="12" t="str">
        <f t="shared" si="0"/>
        <v/>
      </c>
      <c r="E14" s="13" t="str">
        <f>IF($B14="","",IFERROR(VLOOKUP(LEFT($B$3,FIND(CHAR(10),$B$3&amp;CHAR(10))-1)&amp;LEFT($F$3,FIND(CHAR(10),$F$3&amp;CHAR(10))-1)&amp;CHAR(10)&amp;MID($B$3,FIND(CHAR(10),$B$3&amp;CHAR(10))+1,999)&amp;" - "&amp;MID($F$3,FIND(CHAR(10),$F$3&amp;CHAR(10))+1,999),标准与参数!$C$2:$H$51,2,FALSE),""))</f>
        <v/>
      </c>
      <c r="F14" s="13" t="str">
        <f>IF($B14="","",IFERROR(VLOOKUP(LEFT($B$3,FIND(CHAR(10),$B$3&amp;CHAR(10))-1)&amp;LEFT($F$3,FIND(CHAR(10),$F$3&amp;CHAR(10))-1)&amp;CHAR(10)&amp;MID($B$3,FIND(CHAR(10),$B$3&amp;CHAR(10))+1,999)&amp;" - "&amp;MID($F$3,FIND(CHAR(10),$F$3&amp;CHAR(10))+1,999),标准与参数!$C$2:$H$51,3,FALSE),""))</f>
        <v/>
      </c>
      <c r="G14" s="13" t="str">
        <f>IF($B14="","",IFERROR(VLOOKUP(LEFT($B$3,FIND(CHAR(10),$B$3&amp;CHAR(10))-1)&amp;LEFT($F$3,FIND(CHAR(10),$F$3&amp;CHAR(10))-1)&amp;CHAR(10)&amp;MID($B$3,FIND(CHAR(10),$B$3&amp;CHAR(10))+1,999)&amp;" - "&amp;MID($F$3,FIND(CHAR(10),$F$3&amp;CHAR(10))+1,999),标准与参数!$C$2:$H$51,4,FALSE),""))</f>
        <v/>
      </c>
      <c r="H14" s="26"/>
      <c r="I14" s="13" t="str">
        <f t="shared" si="1"/>
        <v/>
      </c>
      <c r="J14" s="13" t="str">
        <f t="shared" si="2"/>
        <v/>
      </c>
      <c r="K14" s="13" t="str">
        <f t="shared" si="3"/>
        <v/>
      </c>
      <c r="L14" s="13" t="str">
        <f t="shared" si="4"/>
        <v/>
      </c>
      <c r="M14" s="27"/>
    </row>
    <row r="15" spans="1:13" s="23" customFormat="1" ht="20" customHeight="1">
      <c r="A15" s="25"/>
      <c r="B15" s="26"/>
      <c r="C15" s="26"/>
      <c r="D15" s="12" t="str">
        <f t="shared" si="0"/>
        <v/>
      </c>
      <c r="E15" s="13" t="str">
        <f>IF($B15="","",IFERROR(VLOOKUP(LEFT($B$3,FIND(CHAR(10),$B$3&amp;CHAR(10))-1)&amp;LEFT($F$3,FIND(CHAR(10),$F$3&amp;CHAR(10))-1)&amp;CHAR(10)&amp;MID($B$3,FIND(CHAR(10),$B$3&amp;CHAR(10))+1,999)&amp;" - "&amp;MID($F$3,FIND(CHAR(10),$F$3&amp;CHAR(10))+1,999),标准与参数!$C$2:$H$51,2,FALSE),""))</f>
        <v/>
      </c>
      <c r="F15" s="13" t="str">
        <f>IF($B15="","",IFERROR(VLOOKUP(LEFT($B$3,FIND(CHAR(10),$B$3&amp;CHAR(10))-1)&amp;LEFT($F$3,FIND(CHAR(10),$F$3&amp;CHAR(10))-1)&amp;CHAR(10)&amp;MID($B$3,FIND(CHAR(10),$B$3&amp;CHAR(10))+1,999)&amp;" - "&amp;MID($F$3,FIND(CHAR(10),$F$3&amp;CHAR(10))+1,999),标准与参数!$C$2:$H$51,3,FALSE),""))</f>
        <v/>
      </c>
      <c r="G15" s="13" t="str">
        <f>IF($B15="","",IFERROR(VLOOKUP(LEFT($B$3,FIND(CHAR(10),$B$3&amp;CHAR(10))-1)&amp;LEFT($F$3,FIND(CHAR(10),$F$3&amp;CHAR(10))-1)&amp;CHAR(10)&amp;MID($B$3,FIND(CHAR(10),$B$3&amp;CHAR(10))+1,999)&amp;" - "&amp;MID($F$3,FIND(CHAR(10),$F$3&amp;CHAR(10))+1,999),标准与参数!$C$2:$H$51,4,FALSE),""))</f>
        <v/>
      </c>
      <c r="H15" s="26"/>
      <c r="I15" s="13" t="str">
        <f t="shared" si="1"/>
        <v/>
      </c>
      <c r="J15" s="13" t="str">
        <f t="shared" si="2"/>
        <v/>
      </c>
      <c r="K15" s="13" t="str">
        <f t="shared" si="3"/>
        <v/>
      </c>
      <c r="L15" s="13" t="str">
        <f t="shared" si="4"/>
        <v/>
      </c>
      <c r="M15" s="27"/>
    </row>
    <row r="16" spans="1:13" s="23" customFormat="1" ht="20" customHeight="1">
      <c r="A16" s="25"/>
      <c r="B16" s="26"/>
      <c r="C16" s="26"/>
      <c r="D16" s="12" t="str">
        <f t="shared" si="0"/>
        <v/>
      </c>
      <c r="E16" s="13" t="str">
        <f>IF($B16="","",IFERROR(VLOOKUP(LEFT($B$3,FIND(CHAR(10),$B$3&amp;CHAR(10))-1)&amp;LEFT($F$3,FIND(CHAR(10),$F$3&amp;CHAR(10))-1)&amp;CHAR(10)&amp;MID($B$3,FIND(CHAR(10),$B$3&amp;CHAR(10))+1,999)&amp;" - "&amp;MID($F$3,FIND(CHAR(10),$F$3&amp;CHAR(10))+1,999),标准与参数!$C$2:$H$51,2,FALSE),""))</f>
        <v/>
      </c>
      <c r="F16" s="13" t="str">
        <f>IF($B16="","",IFERROR(VLOOKUP(LEFT($B$3,FIND(CHAR(10),$B$3&amp;CHAR(10))-1)&amp;LEFT($F$3,FIND(CHAR(10),$F$3&amp;CHAR(10))-1)&amp;CHAR(10)&amp;MID($B$3,FIND(CHAR(10),$B$3&amp;CHAR(10))+1,999)&amp;" - "&amp;MID($F$3,FIND(CHAR(10),$F$3&amp;CHAR(10))+1,999),标准与参数!$C$2:$H$51,3,FALSE),""))</f>
        <v/>
      </c>
      <c r="G16" s="13" t="str">
        <f>IF($B16="","",IFERROR(VLOOKUP(LEFT($B$3,FIND(CHAR(10),$B$3&amp;CHAR(10))-1)&amp;LEFT($F$3,FIND(CHAR(10),$F$3&amp;CHAR(10))-1)&amp;CHAR(10)&amp;MID($B$3,FIND(CHAR(10),$B$3&amp;CHAR(10))+1,999)&amp;" - "&amp;MID($F$3,FIND(CHAR(10),$F$3&amp;CHAR(10))+1,999),标准与参数!$C$2:$H$51,4,FALSE),""))</f>
        <v/>
      </c>
      <c r="H16" s="26"/>
      <c r="I16" s="13" t="str">
        <f t="shared" si="1"/>
        <v/>
      </c>
      <c r="J16" s="13" t="str">
        <f t="shared" si="2"/>
        <v/>
      </c>
      <c r="K16" s="13" t="str">
        <f t="shared" si="3"/>
        <v/>
      </c>
      <c r="L16" s="13" t="str">
        <f t="shared" si="4"/>
        <v/>
      </c>
      <c r="M16" s="27"/>
    </row>
    <row r="17" spans="1:13" s="23" customFormat="1" ht="20" customHeight="1">
      <c r="A17" s="25"/>
      <c r="B17" s="26"/>
      <c r="C17" s="26"/>
      <c r="D17" s="12" t="str">
        <f t="shared" si="0"/>
        <v/>
      </c>
      <c r="E17" s="13" t="str">
        <f>IF($B17="","",IFERROR(VLOOKUP(LEFT($B$3,FIND(CHAR(10),$B$3&amp;CHAR(10))-1)&amp;LEFT($F$3,FIND(CHAR(10),$F$3&amp;CHAR(10))-1)&amp;CHAR(10)&amp;MID($B$3,FIND(CHAR(10),$B$3&amp;CHAR(10))+1,999)&amp;" - "&amp;MID($F$3,FIND(CHAR(10),$F$3&amp;CHAR(10))+1,999),标准与参数!$C$2:$H$51,2,FALSE),""))</f>
        <v/>
      </c>
      <c r="F17" s="13" t="str">
        <f>IF($B17="","",IFERROR(VLOOKUP(LEFT($B$3,FIND(CHAR(10),$B$3&amp;CHAR(10))-1)&amp;LEFT($F$3,FIND(CHAR(10),$F$3&amp;CHAR(10))-1)&amp;CHAR(10)&amp;MID($B$3,FIND(CHAR(10),$B$3&amp;CHAR(10))+1,999)&amp;" - "&amp;MID($F$3,FIND(CHAR(10),$F$3&amp;CHAR(10))+1,999),标准与参数!$C$2:$H$51,3,FALSE),""))</f>
        <v/>
      </c>
      <c r="G17" s="13" t="str">
        <f>IF($B17="","",IFERROR(VLOOKUP(LEFT($B$3,FIND(CHAR(10),$B$3&amp;CHAR(10))-1)&amp;LEFT($F$3,FIND(CHAR(10),$F$3&amp;CHAR(10))-1)&amp;CHAR(10)&amp;MID($B$3,FIND(CHAR(10),$B$3&amp;CHAR(10))+1,999)&amp;" - "&amp;MID($F$3,FIND(CHAR(10),$F$3&amp;CHAR(10))+1,999),标准与参数!$C$2:$H$51,4,FALSE),""))</f>
        <v/>
      </c>
      <c r="H17" s="26"/>
      <c r="I17" s="13" t="str">
        <f t="shared" si="1"/>
        <v/>
      </c>
      <c r="J17" s="13" t="str">
        <f t="shared" si="2"/>
        <v/>
      </c>
      <c r="K17" s="13" t="str">
        <f t="shared" si="3"/>
        <v/>
      </c>
      <c r="L17" s="13" t="str">
        <f t="shared" si="4"/>
        <v/>
      </c>
      <c r="M17" s="27"/>
    </row>
    <row r="18" spans="1:13" s="23" customFormat="1" ht="20" customHeight="1">
      <c r="A18" s="25"/>
      <c r="B18" s="26"/>
      <c r="C18" s="26"/>
      <c r="D18" s="12" t="str">
        <f t="shared" si="0"/>
        <v/>
      </c>
      <c r="E18" s="13" t="str">
        <f>IF($B18="","",IFERROR(VLOOKUP(LEFT($B$3,FIND(CHAR(10),$B$3&amp;CHAR(10))-1)&amp;LEFT($F$3,FIND(CHAR(10),$F$3&amp;CHAR(10))-1)&amp;CHAR(10)&amp;MID($B$3,FIND(CHAR(10),$B$3&amp;CHAR(10))+1,999)&amp;" - "&amp;MID($F$3,FIND(CHAR(10),$F$3&amp;CHAR(10))+1,999),标准与参数!$C$2:$H$51,2,FALSE),""))</f>
        <v/>
      </c>
      <c r="F18" s="13" t="str">
        <f>IF($B18="","",IFERROR(VLOOKUP(LEFT($B$3,FIND(CHAR(10),$B$3&amp;CHAR(10))-1)&amp;LEFT($F$3,FIND(CHAR(10),$F$3&amp;CHAR(10))-1)&amp;CHAR(10)&amp;MID($B$3,FIND(CHAR(10),$B$3&amp;CHAR(10))+1,999)&amp;" - "&amp;MID($F$3,FIND(CHAR(10),$F$3&amp;CHAR(10))+1,999),标准与参数!$C$2:$H$51,3,FALSE),""))</f>
        <v/>
      </c>
      <c r="G18" s="13" t="str">
        <f>IF($B18="","",IFERROR(VLOOKUP(LEFT($B$3,FIND(CHAR(10),$B$3&amp;CHAR(10))-1)&amp;LEFT($F$3,FIND(CHAR(10),$F$3&amp;CHAR(10))-1)&amp;CHAR(10)&amp;MID($B$3,FIND(CHAR(10),$B$3&amp;CHAR(10))+1,999)&amp;" - "&amp;MID($F$3,FIND(CHAR(10),$F$3&amp;CHAR(10))+1,999),标准与参数!$C$2:$H$51,4,FALSE),""))</f>
        <v/>
      </c>
      <c r="H18" s="26"/>
      <c r="I18" s="13" t="str">
        <f t="shared" si="1"/>
        <v/>
      </c>
      <c r="J18" s="13" t="str">
        <f t="shared" si="2"/>
        <v/>
      </c>
      <c r="K18" s="13" t="str">
        <f t="shared" si="3"/>
        <v/>
      </c>
      <c r="L18" s="13" t="str">
        <f t="shared" si="4"/>
        <v/>
      </c>
      <c r="M18" s="27"/>
    </row>
    <row r="19" spans="1:13" s="23" customFormat="1" ht="20" customHeight="1">
      <c r="A19" s="25"/>
      <c r="B19" s="26"/>
      <c r="C19" s="26"/>
      <c r="D19" s="12" t="str">
        <f t="shared" si="0"/>
        <v/>
      </c>
      <c r="E19" s="13" t="str">
        <f>IF($B19="","",IFERROR(VLOOKUP(LEFT($B$3,FIND(CHAR(10),$B$3&amp;CHAR(10))-1)&amp;LEFT($F$3,FIND(CHAR(10),$F$3&amp;CHAR(10))-1)&amp;CHAR(10)&amp;MID($B$3,FIND(CHAR(10),$B$3&amp;CHAR(10))+1,999)&amp;" - "&amp;MID($F$3,FIND(CHAR(10),$F$3&amp;CHAR(10))+1,999),标准与参数!$C$2:$H$51,2,FALSE),""))</f>
        <v/>
      </c>
      <c r="F19" s="13" t="str">
        <f>IF($B19="","",IFERROR(VLOOKUP(LEFT($B$3,FIND(CHAR(10),$B$3&amp;CHAR(10))-1)&amp;LEFT($F$3,FIND(CHAR(10),$F$3&amp;CHAR(10))-1)&amp;CHAR(10)&amp;MID($B$3,FIND(CHAR(10),$B$3&amp;CHAR(10))+1,999)&amp;" - "&amp;MID($F$3,FIND(CHAR(10),$F$3&amp;CHAR(10))+1,999),标准与参数!$C$2:$H$51,3,FALSE),""))</f>
        <v/>
      </c>
      <c r="G19" s="13" t="str">
        <f>IF($B19="","",IFERROR(VLOOKUP(LEFT($B$3,FIND(CHAR(10),$B$3&amp;CHAR(10))-1)&amp;LEFT($F$3,FIND(CHAR(10),$F$3&amp;CHAR(10))-1)&amp;CHAR(10)&amp;MID($B$3,FIND(CHAR(10),$B$3&amp;CHAR(10))+1,999)&amp;" - "&amp;MID($F$3,FIND(CHAR(10),$F$3&amp;CHAR(10))+1,999),标准与参数!$C$2:$H$51,4,FALSE),""))</f>
        <v/>
      </c>
      <c r="H19" s="26"/>
      <c r="I19" s="13" t="str">
        <f t="shared" si="1"/>
        <v/>
      </c>
      <c r="J19" s="13" t="str">
        <f t="shared" si="2"/>
        <v/>
      </c>
      <c r="K19" s="13" t="str">
        <f t="shared" si="3"/>
        <v/>
      </c>
      <c r="L19" s="13" t="str">
        <f t="shared" si="4"/>
        <v/>
      </c>
      <c r="M19" s="27"/>
    </row>
    <row r="20" spans="1:13" ht="26">
      <c r="A20" s="45" t="s">
        <v>83</v>
      </c>
      <c r="B20" s="40"/>
      <c r="C20" s="40"/>
      <c r="D20" s="40"/>
      <c r="E20" s="40"/>
      <c r="F20" s="40"/>
      <c r="G20" s="40"/>
      <c r="H20" s="41"/>
      <c r="I20" s="40"/>
      <c r="J20" s="46"/>
      <c r="K20" s="15" t="s">
        <v>84</v>
      </c>
      <c r="L20" s="21">
        <f>IF(H3="VND",SUM($L$7:$L$15),SUM(L7:L15)*26300)</f>
        <v>320000</v>
      </c>
      <c r="M20" s="14"/>
    </row>
    <row r="21" spans="1:13" ht="72" customHeight="1">
      <c r="A21" s="42" t="s">
        <v>85</v>
      </c>
      <c r="B21" s="43"/>
      <c r="C21" s="43"/>
      <c r="D21" s="43"/>
      <c r="E21" s="43"/>
      <c r="F21" s="43"/>
      <c r="G21" s="43"/>
      <c r="H21" s="44"/>
      <c r="I21" s="43"/>
      <c r="J21" s="43"/>
      <c r="K21" s="43"/>
      <c r="L21" s="43"/>
      <c r="M21" s="43"/>
    </row>
    <row r="22" spans="1:13" ht="14" customHeight="1">
      <c r="H22" s="10"/>
    </row>
    <row r="23" spans="1:13" s="35" customFormat="1" ht="62" customHeight="1">
      <c r="A23" s="38" t="s">
        <v>86</v>
      </c>
      <c r="B23" s="38"/>
      <c r="D23" s="36" t="s">
        <v>87</v>
      </c>
      <c r="F23" s="37" t="s">
        <v>88</v>
      </c>
      <c r="G23" s="37"/>
      <c r="I23" s="36" t="s">
        <v>87</v>
      </c>
    </row>
    <row r="24" spans="1:13" ht="26" customHeight="1">
      <c r="A24" s="16"/>
      <c r="D24" s="17"/>
      <c r="H24" s="10"/>
    </row>
    <row r="26" spans="1:13" ht="136.5" customHeight="1">
      <c r="A26" s="47" t="s">
        <v>55</v>
      </c>
      <c r="B26" s="40"/>
      <c r="C26" s="40"/>
      <c r="D26" s="40"/>
      <c r="E26" s="40"/>
      <c r="F26" s="40"/>
      <c r="G26" s="40"/>
      <c r="H26" s="41"/>
      <c r="I26" s="40"/>
      <c r="J26" s="40"/>
      <c r="K26" s="40"/>
      <c r="L26" s="40"/>
      <c r="M26" s="40"/>
    </row>
  </sheetData>
  <mergeCells count="7">
    <mergeCell ref="A26:M26"/>
    <mergeCell ref="F23:G23"/>
    <mergeCell ref="A23:B23"/>
    <mergeCell ref="A1:M1"/>
    <mergeCell ref="A5:M5"/>
    <mergeCell ref="A21:M21"/>
    <mergeCell ref="A20:J20"/>
  </mergeCells>
  <phoneticPr fontId="7" type="noConversion"/>
  <dataValidations disablePrompts="1" count="3">
    <dataValidation type="list" allowBlank="1" errorTitle="输入无效_x000a_Dữ liệu không hợp lệ" error="请从下拉列表选择出差类别_x000a_Vui lòng chọn loại công tác từ danh sách thả xuống" sqref="B3" xr:uid="{00000000-0002-0000-0000-000000000000}">
      <formula1>"市内
Trong khu vực,国内
Trong nước,国际
Quốc tế"</formula1>
    </dataValidation>
    <dataValidation type="list" allowBlank="1" errorTitle="输入无效_x000a_Dữ liệu không hợp lệ" error="出差地点须与出差类别匹配，请先选择类别_x000a_Địa điểm phải phù hợp với loại công tác; vui lòng chọn loại trước" sqref="D3" xr:uid="{00000000-0002-0000-0000-000001000000}">
      <formula1>INDIRECT(LEFT($B$3,FIND(CHAR(10),$B$3&amp;CHAR(10))-1)&amp;"地点")</formula1>
    </dataValidation>
    <dataValidation type="list" allowBlank="1" errorTitle="输入无效_x000a_Dữ liệu không hợp lệ" error="请从下拉列表选择餐次_x000a_Vui lòng chọn bữa ăn từ danh sách thả xuống" promptTitle="是否招待_x000a_Có được chiêu đãi" prompt="业务招待餐次须勾选，实报金额将自动归零_x000a_Chọn bữa ăn được chiêu đãi; số tiền thanh toán sẽ tự động về 0" sqref="H7:H21" xr:uid="{00000000-0002-0000-0000-000002000000}">
      <formula1>"无
Không,早餐
Bữa sáng,午餐
Bữa trưa,晚餐
Bữa tối,早餐&amp;午餐
Bữa sáng &amp; bữa trưa,早餐&amp;晚餐
Bữa sáng &amp; bữa tối,午餐&amp;晚餐
Bữa trưa &amp; bữa tối,早餐&amp;午餐&amp;晚餐
Bữa sáng, bữa trưa &amp; bữa tối"</formula1>
    </dataValidation>
  </dataValidations>
  <pageMargins left="0.75" right="0.75" top="1" bottom="1" header="0.5" footer="0.5"/>
  <pageSetup paperSize="9" scale="7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2"/>
  <sheetViews>
    <sheetView workbookViewId="0">
      <selection activeCell="O4" sqref="O4"/>
    </sheetView>
  </sheetViews>
  <sheetFormatPr defaultRowHeight="14"/>
  <cols>
    <col min="1" max="3" width="13" customWidth="1"/>
    <col min="4" max="7" width="13" style="7" customWidth="1"/>
    <col min="8" max="9" width="13" customWidth="1"/>
    <col min="11" max="11" width="26" customWidth="1"/>
    <col min="12" max="12" width="10" customWidth="1"/>
    <col min="14" max="14" width="30" customWidth="1"/>
    <col min="15" max="15" width="10" customWidth="1"/>
    <col min="16" max="16" width="44" customWidth="1"/>
  </cols>
  <sheetData>
    <row r="1" spans="1:16" ht="90" customHeight="1">
      <c r="A1" s="30" t="s">
        <v>89</v>
      </c>
      <c r="K1" s="30" t="s">
        <v>90</v>
      </c>
      <c r="L1" s="31" t="s">
        <v>91</v>
      </c>
      <c r="N1" s="30" t="s">
        <v>92</v>
      </c>
    </row>
    <row r="2" spans="1:16" ht="60" customHeight="1">
      <c r="A2" s="1" t="s">
        <v>93</v>
      </c>
      <c r="B2" s="1" t="s">
        <v>94</v>
      </c>
      <c r="C2" s="1" t="s">
        <v>4</v>
      </c>
      <c r="D2" s="8" t="s">
        <v>95</v>
      </c>
      <c r="E2" s="8" t="s">
        <v>96</v>
      </c>
      <c r="F2" s="8" t="s">
        <v>97</v>
      </c>
      <c r="G2" s="8" t="s">
        <v>98</v>
      </c>
      <c r="H2" s="1" t="s">
        <v>66</v>
      </c>
      <c r="I2" s="1"/>
      <c r="K2" s="1" t="s">
        <v>99</v>
      </c>
      <c r="L2" s="1" t="s">
        <v>91</v>
      </c>
      <c r="N2" s="32" t="s">
        <v>100</v>
      </c>
      <c r="O2" s="2">
        <v>0.29166666666666669</v>
      </c>
      <c r="P2" s="3" t="s">
        <v>101</v>
      </c>
    </row>
    <row r="3" spans="1:16" ht="68" customHeight="1">
      <c r="A3" s="4" t="s">
        <v>102</v>
      </c>
      <c r="B3" s="5" t="s">
        <v>103</v>
      </c>
      <c r="C3" s="5" t="str">
        <f t="shared" ref="C3:C34" si="0">LEFT(A3,FIND(CHAR(10),A3&amp;CHAR(10))-1)&amp;LEFT(B3,FIND(CHAR(10),B3&amp;CHAR(10))-1)&amp;CHAR(10)&amp;MID(A3,FIND(CHAR(10),A3&amp;CHAR(10))+1,999)&amp;" - "&amp;MID(B3,FIND(CHAR(10),B3&amp;CHAR(10))+1,999)</f>
        <v>市内同奈仁泽
Trong khu vực - Nhơn Trạch, Đồng Nai</v>
      </c>
      <c r="D3" s="9">
        <v>40000</v>
      </c>
      <c r="E3" s="9">
        <v>80000</v>
      </c>
      <c r="F3" s="9">
        <v>80000</v>
      </c>
      <c r="G3" s="9">
        <v>200000</v>
      </c>
      <c r="H3" s="4" t="s">
        <v>5</v>
      </c>
      <c r="I3" s="4"/>
      <c r="K3" s="5" t="s">
        <v>2</v>
      </c>
      <c r="L3" s="5" t="s">
        <v>104</v>
      </c>
      <c r="N3" s="32" t="s">
        <v>105</v>
      </c>
      <c r="O3" s="2">
        <v>0.52083333333333337</v>
      </c>
      <c r="P3" s="3" t="s">
        <v>106</v>
      </c>
    </row>
    <row r="4" spans="1:16" ht="68" customHeight="1">
      <c r="A4" s="4" t="s">
        <v>102</v>
      </c>
      <c r="B4" s="5" t="s">
        <v>107</v>
      </c>
      <c r="C4" s="5" t="str">
        <f t="shared" si="0"/>
        <v>市内西宁展鹏
Trong khu vực - Công ty tại Trảng Bàng, Tây Ninh</v>
      </c>
      <c r="D4" s="9">
        <v>40000</v>
      </c>
      <c r="E4" s="9">
        <v>80000</v>
      </c>
      <c r="F4" s="9">
        <v>80000</v>
      </c>
      <c r="G4" s="9">
        <v>200000</v>
      </c>
      <c r="H4" s="4" t="s">
        <v>5</v>
      </c>
      <c r="I4" s="4"/>
      <c r="K4" s="5" t="s">
        <v>6</v>
      </c>
      <c r="L4" s="5" t="s">
        <v>104</v>
      </c>
      <c r="N4" s="32" t="s">
        <v>108</v>
      </c>
      <c r="O4" s="2">
        <v>0.72916666666666663</v>
      </c>
      <c r="P4" s="3" t="s">
        <v>109</v>
      </c>
    </row>
    <row r="5" spans="1:16" ht="68" customHeight="1">
      <c r="A5" s="4" t="s">
        <v>63</v>
      </c>
      <c r="B5" s="5" t="s">
        <v>104</v>
      </c>
      <c r="C5" s="5" t="str">
        <f t="shared" si="0"/>
        <v>国内一类城市
Trong nước - Thành phố loại I</v>
      </c>
      <c r="D5" s="9">
        <v>80000</v>
      </c>
      <c r="E5" s="9">
        <v>160000</v>
      </c>
      <c r="F5" s="9">
        <v>160000</v>
      </c>
      <c r="G5" s="9">
        <v>400000</v>
      </c>
      <c r="H5" s="4" t="s">
        <v>5</v>
      </c>
      <c r="I5" s="4"/>
      <c r="K5" s="5" t="s">
        <v>7</v>
      </c>
      <c r="L5" s="5" t="s">
        <v>110</v>
      </c>
      <c r="N5" s="32" t="s">
        <v>111</v>
      </c>
      <c r="O5" s="6">
        <v>12</v>
      </c>
      <c r="P5" s="3" t="s">
        <v>112</v>
      </c>
    </row>
    <row r="6" spans="1:16" ht="68" customHeight="1">
      <c r="A6" s="4" t="s">
        <v>63</v>
      </c>
      <c r="B6" s="5" t="s">
        <v>110</v>
      </c>
      <c r="C6" s="5" t="str">
        <f t="shared" si="0"/>
        <v>国内二类城市
Trong nước - Thành phố loại II</v>
      </c>
      <c r="D6" s="9">
        <v>60000</v>
      </c>
      <c r="E6" s="9">
        <v>120000</v>
      </c>
      <c r="F6" s="9">
        <v>120000</v>
      </c>
      <c r="G6" s="9">
        <v>300000</v>
      </c>
      <c r="H6" s="4" t="s">
        <v>5</v>
      </c>
      <c r="I6" s="4"/>
      <c r="K6" s="5" t="s">
        <v>8</v>
      </c>
      <c r="L6" s="5" t="s">
        <v>110</v>
      </c>
    </row>
    <row r="7" spans="1:16" ht="68" customHeight="1">
      <c r="A7" s="4" t="s">
        <v>63</v>
      </c>
      <c r="B7" s="5" t="s">
        <v>113</v>
      </c>
      <c r="C7" s="5" t="str">
        <f t="shared" si="0"/>
        <v>国内三类城市
Trong nước - Thành phố loại III</v>
      </c>
      <c r="D7" s="9">
        <v>40000</v>
      </c>
      <c r="E7" s="9">
        <v>80000</v>
      </c>
      <c r="F7" s="9">
        <v>80000</v>
      </c>
      <c r="G7" s="9">
        <v>200000</v>
      </c>
      <c r="H7" s="4" t="s">
        <v>5</v>
      </c>
      <c r="I7" s="4"/>
      <c r="K7" s="5" t="s">
        <v>9</v>
      </c>
      <c r="L7" s="5" t="s">
        <v>110</v>
      </c>
    </row>
    <row r="8" spans="1:16" ht="68" customHeight="1">
      <c r="A8" s="4" t="s">
        <v>114</v>
      </c>
      <c r="B8" s="5" t="s">
        <v>115</v>
      </c>
      <c r="C8" s="5" t="str">
        <f t="shared" si="0"/>
        <v>国际韩国
Quốc tế - Hàn Quốc</v>
      </c>
      <c r="D8" s="9">
        <v>14</v>
      </c>
      <c r="E8" s="9">
        <v>28</v>
      </c>
      <c r="F8" s="9">
        <v>28</v>
      </c>
      <c r="G8" s="9">
        <v>70</v>
      </c>
      <c r="H8" s="4" t="s">
        <v>10</v>
      </c>
      <c r="I8" s="4"/>
      <c r="K8" s="5" t="s">
        <v>11</v>
      </c>
      <c r="L8" s="5" t="s">
        <v>110</v>
      </c>
    </row>
    <row r="9" spans="1:16" ht="68" customHeight="1">
      <c r="A9" s="4" t="s">
        <v>114</v>
      </c>
      <c r="B9" s="5" t="s">
        <v>116</v>
      </c>
      <c r="C9" s="5" t="str">
        <f t="shared" si="0"/>
        <v>国际日本
Quốc tế - Nhật Bản</v>
      </c>
      <c r="D9" s="9">
        <v>14</v>
      </c>
      <c r="E9" s="9">
        <v>28</v>
      </c>
      <c r="F9" s="9">
        <v>28</v>
      </c>
      <c r="G9" s="9">
        <v>70</v>
      </c>
      <c r="H9" s="4" t="s">
        <v>10</v>
      </c>
      <c r="I9" s="4"/>
      <c r="K9" s="5" t="s">
        <v>12</v>
      </c>
      <c r="L9" s="5" t="s">
        <v>110</v>
      </c>
    </row>
    <row r="10" spans="1:16" ht="68" customHeight="1">
      <c r="A10" s="4" t="s">
        <v>114</v>
      </c>
      <c r="B10" s="5" t="s">
        <v>117</v>
      </c>
      <c r="C10" s="5" t="str">
        <f t="shared" si="0"/>
        <v>国际新加坡
Quốc tế - Singapore</v>
      </c>
      <c r="D10" s="9">
        <v>14</v>
      </c>
      <c r="E10" s="9">
        <v>28</v>
      </c>
      <c r="F10" s="9">
        <v>28</v>
      </c>
      <c r="G10" s="9">
        <v>70</v>
      </c>
      <c r="H10" s="4" t="s">
        <v>10</v>
      </c>
      <c r="I10" s="4"/>
      <c r="K10" s="5" t="s">
        <v>13</v>
      </c>
      <c r="L10" s="5" t="s">
        <v>110</v>
      </c>
    </row>
    <row r="11" spans="1:16" ht="68" customHeight="1">
      <c r="A11" s="4" t="s">
        <v>114</v>
      </c>
      <c r="B11" s="5" t="s">
        <v>118</v>
      </c>
      <c r="C11" s="5" t="str">
        <f t="shared" si="0"/>
        <v>国际卡塔尔
Quốc tế - Qatar</v>
      </c>
      <c r="D11" s="9">
        <v>12</v>
      </c>
      <c r="E11" s="9">
        <v>24</v>
      </c>
      <c r="F11" s="9">
        <v>24</v>
      </c>
      <c r="G11" s="9">
        <v>60</v>
      </c>
      <c r="H11" s="4" t="s">
        <v>10</v>
      </c>
      <c r="I11" s="4"/>
      <c r="K11" s="5" t="s">
        <v>14</v>
      </c>
      <c r="L11" s="5" t="s">
        <v>110</v>
      </c>
    </row>
    <row r="12" spans="1:16" ht="68" customHeight="1">
      <c r="A12" s="4" t="s">
        <v>114</v>
      </c>
      <c r="B12" s="5" t="s">
        <v>119</v>
      </c>
      <c r="C12" s="5" t="str">
        <f t="shared" si="0"/>
        <v>国际伊拉克
Quốc tế - Iraq</v>
      </c>
      <c r="D12" s="9">
        <v>12</v>
      </c>
      <c r="E12" s="9">
        <v>24</v>
      </c>
      <c r="F12" s="9">
        <v>24</v>
      </c>
      <c r="G12" s="9">
        <v>60</v>
      </c>
      <c r="H12" s="4" t="s">
        <v>10</v>
      </c>
      <c r="I12" s="4"/>
      <c r="K12" s="5" t="s">
        <v>15</v>
      </c>
      <c r="L12" s="5" t="s">
        <v>110</v>
      </c>
    </row>
    <row r="13" spans="1:16" ht="68" customHeight="1">
      <c r="A13" s="4" t="s">
        <v>114</v>
      </c>
      <c r="B13" s="5" t="s">
        <v>120</v>
      </c>
      <c r="C13" s="5" t="str">
        <f t="shared" si="0"/>
        <v>国际科威特
Quốc tế - Kuwait</v>
      </c>
      <c r="D13" s="9">
        <v>12</v>
      </c>
      <c r="E13" s="9">
        <v>24</v>
      </c>
      <c r="F13" s="9">
        <v>24</v>
      </c>
      <c r="G13" s="9">
        <v>60</v>
      </c>
      <c r="H13" s="4" t="s">
        <v>10</v>
      </c>
      <c r="I13" s="4"/>
      <c r="K13" s="5" t="s">
        <v>16</v>
      </c>
      <c r="L13" s="5" t="s">
        <v>110</v>
      </c>
    </row>
    <row r="14" spans="1:16" ht="68" customHeight="1">
      <c r="A14" s="4" t="s">
        <v>114</v>
      </c>
      <c r="B14" s="5" t="s">
        <v>121</v>
      </c>
      <c r="C14" s="5" t="str">
        <f t="shared" si="0"/>
        <v>国际阿联酋
Quốc tế - Các Tiểu vương quốc Ả Rập Thống nhất</v>
      </c>
      <c r="D14" s="9">
        <v>12</v>
      </c>
      <c r="E14" s="9">
        <v>24</v>
      </c>
      <c r="F14" s="9">
        <v>24</v>
      </c>
      <c r="G14" s="9">
        <v>60</v>
      </c>
      <c r="H14" s="4" t="s">
        <v>10</v>
      </c>
      <c r="I14" s="4"/>
      <c r="K14" s="5" t="s">
        <v>17</v>
      </c>
      <c r="L14" s="5" t="s">
        <v>110</v>
      </c>
    </row>
    <row r="15" spans="1:16" ht="68" customHeight="1">
      <c r="A15" s="4" t="s">
        <v>114</v>
      </c>
      <c r="B15" s="5" t="s">
        <v>122</v>
      </c>
      <c r="C15" s="5" t="str">
        <f t="shared" si="0"/>
        <v>国际也门
Quốc tế - Yemen</v>
      </c>
      <c r="D15" s="9">
        <v>12</v>
      </c>
      <c r="E15" s="9">
        <v>24</v>
      </c>
      <c r="F15" s="9">
        <v>24</v>
      </c>
      <c r="G15" s="9">
        <v>60</v>
      </c>
      <c r="H15" s="4" t="s">
        <v>10</v>
      </c>
      <c r="I15" s="4"/>
      <c r="K15" s="5" t="s">
        <v>18</v>
      </c>
      <c r="L15" s="5" t="s">
        <v>110</v>
      </c>
    </row>
    <row r="16" spans="1:16" ht="68" customHeight="1">
      <c r="A16" s="4" t="s">
        <v>114</v>
      </c>
      <c r="B16" s="5" t="s">
        <v>123</v>
      </c>
      <c r="C16" s="5" t="str">
        <f t="shared" si="0"/>
        <v>国际阿曼
Quốc tế - Oman</v>
      </c>
      <c r="D16" s="9">
        <v>12</v>
      </c>
      <c r="E16" s="9">
        <v>24</v>
      </c>
      <c r="F16" s="9">
        <v>24</v>
      </c>
      <c r="G16" s="9">
        <v>60</v>
      </c>
      <c r="H16" s="4" t="s">
        <v>10</v>
      </c>
      <c r="I16" s="4"/>
      <c r="K16" s="5" t="s">
        <v>19</v>
      </c>
      <c r="L16" s="5" t="s">
        <v>110</v>
      </c>
    </row>
    <row r="17" spans="1:12" ht="68" customHeight="1">
      <c r="A17" s="4" t="s">
        <v>114</v>
      </c>
      <c r="B17" s="5" t="s">
        <v>124</v>
      </c>
      <c r="C17" s="5" t="str">
        <f t="shared" si="0"/>
        <v>国际沙特阿拉伯
Quốc tế - Ả Rập Xê Út</v>
      </c>
      <c r="D17" s="9">
        <v>12</v>
      </c>
      <c r="E17" s="9">
        <v>24</v>
      </c>
      <c r="F17" s="9">
        <v>24</v>
      </c>
      <c r="G17" s="9">
        <v>60</v>
      </c>
      <c r="H17" s="4" t="s">
        <v>10</v>
      </c>
      <c r="I17" s="4"/>
      <c r="K17" s="5" t="s">
        <v>20</v>
      </c>
      <c r="L17" s="5" t="s">
        <v>110</v>
      </c>
    </row>
    <row r="18" spans="1:12" ht="68" customHeight="1">
      <c r="A18" s="4" t="s">
        <v>114</v>
      </c>
      <c r="B18" s="5" t="s">
        <v>125</v>
      </c>
      <c r="C18" s="5" t="str">
        <f t="shared" si="0"/>
        <v>国际巴林
Quốc tế - Bahrain</v>
      </c>
      <c r="D18" s="9">
        <v>12</v>
      </c>
      <c r="E18" s="9">
        <v>24</v>
      </c>
      <c r="F18" s="9">
        <v>24</v>
      </c>
      <c r="G18" s="9">
        <v>60</v>
      </c>
      <c r="H18" s="4" t="s">
        <v>10</v>
      </c>
      <c r="I18" s="4"/>
      <c r="K18" s="5" t="s">
        <v>21</v>
      </c>
      <c r="L18" s="5" t="s">
        <v>110</v>
      </c>
    </row>
    <row r="19" spans="1:12" ht="68" customHeight="1">
      <c r="A19" s="4" t="s">
        <v>114</v>
      </c>
      <c r="B19" s="5" t="s">
        <v>126</v>
      </c>
      <c r="C19" s="5" t="str">
        <f t="shared" si="0"/>
        <v>国际以色列
Quốc tế - Israel</v>
      </c>
      <c r="D19" s="9">
        <v>12</v>
      </c>
      <c r="E19" s="9">
        <v>24</v>
      </c>
      <c r="F19" s="9">
        <v>24</v>
      </c>
      <c r="G19" s="9">
        <v>60</v>
      </c>
      <c r="H19" s="4" t="s">
        <v>10</v>
      </c>
      <c r="I19" s="4"/>
      <c r="K19" s="5" t="s">
        <v>22</v>
      </c>
      <c r="L19" s="5" t="s">
        <v>110</v>
      </c>
    </row>
    <row r="20" spans="1:12" ht="68" customHeight="1">
      <c r="A20" s="4" t="s">
        <v>114</v>
      </c>
      <c r="B20" s="5" t="s">
        <v>127</v>
      </c>
      <c r="C20" s="5" t="str">
        <f t="shared" si="0"/>
        <v>国际巴勒斯坦
Quốc tế - Palestine</v>
      </c>
      <c r="D20" s="9">
        <v>12</v>
      </c>
      <c r="E20" s="9">
        <v>24</v>
      </c>
      <c r="F20" s="9">
        <v>24</v>
      </c>
      <c r="G20" s="9">
        <v>60</v>
      </c>
      <c r="H20" s="4" t="s">
        <v>10</v>
      </c>
      <c r="I20" s="4"/>
      <c r="K20" s="5" t="s">
        <v>23</v>
      </c>
      <c r="L20" s="5" t="s">
        <v>110</v>
      </c>
    </row>
    <row r="21" spans="1:12" ht="68" customHeight="1">
      <c r="A21" s="4" t="s">
        <v>114</v>
      </c>
      <c r="B21" s="5" t="s">
        <v>128</v>
      </c>
      <c r="C21" s="5" t="str">
        <f t="shared" si="0"/>
        <v>国际文莱
Quốc tế - Brunei</v>
      </c>
      <c r="D21" s="9">
        <v>12</v>
      </c>
      <c r="E21" s="9">
        <v>24</v>
      </c>
      <c r="F21" s="9">
        <v>24</v>
      </c>
      <c r="G21" s="9">
        <v>60</v>
      </c>
      <c r="H21" s="4" t="s">
        <v>10</v>
      </c>
      <c r="I21" s="4"/>
      <c r="K21" s="5" t="s">
        <v>24</v>
      </c>
      <c r="L21" s="5" t="s">
        <v>110</v>
      </c>
    </row>
    <row r="22" spans="1:12" ht="68" customHeight="1">
      <c r="A22" s="4" t="s">
        <v>114</v>
      </c>
      <c r="B22" s="5" t="s">
        <v>129</v>
      </c>
      <c r="C22" s="5" t="str">
        <f t="shared" si="0"/>
        <v>国际东帝汶
Quốc tế - Timor-Leste</v>
      </c>
      <c r="D22" s="9">
        <v>12</v>
      </c>
      <c r="E22" s="9">
        <v>24</v>
      </c>
      <c r="F22" s="9">
        <v>24</v>
      </c>
      <c r="G22" s="9">
        <v>60</v>
      </c>
      <c r="H22" s="4" t="s">
        <v>10</v>
      </c>
      <c r="I22" s="4"/>
      <c r="K22" s="5" t="s">
        <v>25</v>
      </c>
      <c r="L22" s="5" t="s">
        <v>110</v>
      </c>
    </row>
    <row r="23" spans="1:12" ht="68" customHeight="1">
      <c r="A23" s="4" t="s">
        <v>114</v>
      </c>
      <c r="B23" s="5" t="s">
        <v>130</v>
      </c>
      <c r="C23" s="5" t="str">
        <f t="shared" si="0"/>
        <v>国际印尼
Quốc tế - Indonesia</v>
      </c>
      <c r="D23" s="9">
        <v>8</v>
      </c>
      <c r="E23" s="9">
        <v>16</v>
      </c>
      <c r="F23" s="9">
        <v>16</v>
      </c>
      <c r="G23" s="9">
        <v>40</v>
      </c>
      <c r="H23" s="4" t="s">
        <v>10</v>
      </c>
      <c r="I23" s="4"/>
      <c r="K23" s="5" t="s">
        <v>26</v>
      </c>
      <c r="L23" s="5" t="s">
        <v>110</v>
      </c>
    </row>
    <row r="24" spans="1:12" ht="68" customHeight="1">
      <c r="A24" s="4" t="s">
        <v>114</v>
      </c>
      <c r="B24" s="5" t="s">
        <v>131</v>
      </c>
      <c r="C24" s="5" t="str">
        <f t="shared" si="0"/>
        <v>国际其他亚洲国家
Quốc tế - Các quốc gia châu Á khác</v>
      </c>
      <c r="D24" s="9">
        <v>8</v>
      </c>
      <c r="E24" s="9">
        <v>16</v>
      </c>
      <c r="F24" s="9">
        <v>16</v>
      </c>
      <c r="G24" s="9">
        <v>40</v>
      </c>
      <c r="H24" s="4" t="s">
        <v>10</v>
      </c>
      <c r="I24" s="4"/>
      <c r="K24" s="5" t="s">
        <v>27</v>
      </c>
      <c r="L24" s="5" t="s">
        <v>110</v>
      </c>
    </row>
    <row r="25" spans="1:12" ht="68" customHeight="1">
      <c r="A25" s="4" t="s">
        <v>114</v>
      </c>
      <c r="B25" s="5" t="s">
        <v>132</v>
      </c>
      <c r="C25" s="5" t="str">
        <f t="shared" si="0"/>
        <v>国际德国
Quốc tế - Đức</v>
      </c>
      <c r="D25" s="9">
        <v>14</v>
      </c>
      <c r="E25" s="9">
        <v>28</v>
      </c>
      <c r="F25" s="9">
        <v>28</v>
      </c>
      <c r="G25" s="9">
        <v>70</v>
      </c>
      <c r="H25" s="4" t="s">
        <v>10</v>
      </c>
      <c r="I25" s="4"/>
      <c r="K25" s="5" t="s">
        <v>28</v>
      </c>
      <c r="L25" s="5" t="s">
        <v>110</v>
      </c>
    </row>
    <row r="26" spans="1:12" ht="68" customHeight="1">
      <c r="A26" s="4" t="s">
        <v>114</v>
      </c>
      <c r="B26" s="5" t="s">
        <v>133</v>
      </c>
      <c r="C26" s="5" t="str">
        <f t="shared" si="0"/>
        <v>国际荷兰
Quốc tế - Hà Lan</v>
      </c>
      <c r="D26" s="9">
        <v>14</v>
      </c>
      <c r="E26" s="9">
        <v>28</v>
      </c>
      <c r="F26" s="9">
        <v>28</v>
      </c>
      <c r="G26" s="9">
        <v>70</v>
      </c>
      <c r="H26" s="4" t="s">
        <v>10</v>
      </c>
      <c r="I26" s="4"/>
      <c r="K26" s="5" t="s">
        <v>29</v>
      </c>
      <c r="L26" s="5" t="s">
        <v>110</v>
      </c>
    </row>
    <row r="27" spans="1:12" ht="68" customHeight="1">
      <c r="A27" s="4" t="s">
        <v>114</v>
      </c>
      <c r="B27" s="5" t="s">
        <v>134</v>
      </c>
      <c r="C27" s="5" t="str">
        <f t="shared" si="0"/>
        <v>国际意大利
Quốc tế - Ý</v>
      </c>
      <c r="D27" s="9">
        <v>14</v>
      </c>
      <c r="E27" s="9">
        <v>28</v>
      </c>
      <c r="F27" s="9">
        <v>28</v>
      </c>
      <c r="G27" s="9">
        <v>70</v>
      </c>
      <c r="H27" s="4" t="s">
        <v>10</v>
      </c>
      <c r="I27" s="4"/>
      <c r="K27" s="5" t="s">
        <v>30</v>
      </c>
      <c r="L27" s="5" t="s">
        <v>110</v>
      </c>
    </row>
    <row r="28" spans="1:12" ht="68" customHeight="1">
      <c r="A28" s="4" t="s">
        <v>114</v>
      </c>
      <c r="B28" s="5" t="s">
        <v>135</v>
      </c>
      <c r="C28" s="5" t="str">
        <f t="shared" si="0"/>
        <v>国际比利时
Quốc tế - Bỉ</v>
      </c>
      <c r="D28" s="9">
        <v>14</v>
      </c>
      <c r="E28" s="9">
        <v>28</v>
      </c>
      <c r="F28" s="9">
        <v>28</v>
      </c>
      <c r="G28" s="9">
        <v>70</v>
      </c>
      <c r="H28" s="4" t="s">
        <v>10</v>
      </c>
      <c r="I28" s="4"/>
      <c r="K28" s="5" t="s">
        <v>31</v>
      </c>
      <c r="L28" s="5" t="s">
        <v>110</v>
      </c>
    </row>
    <row r="29" spans="1:12" ht="68" customHeight="1">
      <c r="A29" s="4" t="s">
        <v>114</v>
      </c>
      <c r="B29" s="5" t="s">
        <v>136</v>
      </c>
      <c r="C29" s="5" t="str">
        <f t="shared" si="0"/>
        <v>国际奥地利
Quốc tế - Áo</v>
      </c>
      <c r="D29" s="9">
        <v>14</v>
      </c>
      <c r="E29" s="9">
        <v>28</v>
      </c>
      <c r="F29" s="9">
        <v>28</v>
      </c>
      <c r="G29" s="9">
        <v>70</v>
      </c>
      <c r="H29" s="4" t="s">
        <v>10</v>
      </c>
      <c r="I29" s="4"/>
      <c r="K29" s="5" t="s">
        <v>32</v>
      </c>
      <c r="L29" s="5" t="s">
        <v>110</v>
      </c>
    </row>
    <row r="30" spans="1:12" ht="68" customHeight="1">
      <c r="A30" s="4" t="s">
        <v>114</v>
      </c>
      <c r="B30" s="5" t="s">
        <v>137</v>
      </c>
      <c r="C30" s="5" t="str">
        <f t="shared" si="0"/>
        <v>国际希腊
Quốc tế - Hy Lạp</v>
      </c>
      <c r="D30" s="9">
        <v>14</v>
      </c>
      <c r="E30" s="9">
        <v>28</v>
      </c>
      <c r="F30" s="9">
        <v>28</v>
      </c>
      <c r="G30" s="9">
        <v>70</v>
      </c>
      <c r="H30" s="4" t="s">
        <v>10</v>
      </c>
      <c r="I30" s="4"/>
      <c r="K30" s="28" t="s">
        <v>33</v>
      </c>
      <c r="L30" s="33" t="s">
        <v>110</v>
      </c>
    </row>
    <row r="31" spans="1:12" ht="68" customHeight="1">
      <c r="A31" s="4" t="s">
        <v>114</v>
      </c>
      <c r="B31" s="5" t="s">
        <v>138</v>
      </c>
      <c r="C31" s="5" t="str">
        <f t="shared" si="0"/>
        <v>国际法国
Quốc tế - Pháp</v>
      </c>
      <c r="D31" s="9">
        <v>14</v>
      </c>
      <c r="E31" s="9">
        <v>28</v>
      </c>
      <c r="F31" s="9">
        <v>28</v>
      </c>
      <c r="G31" s="9">
        <v>70</v>
      </c>
      <c r="H31" s="4" t="s">
        <v>10</v>
      </c>
      <c r="I31" s="4"/>
      <c r="K31" s="28" t="s">
        <v>34</v>
      </c>
      <c r="L31" s="33" t="s">
        <v>110</v>
      </c>
    </row>
    <row r="32" spans="1:12" ht="68" customHeight="1">
      <c r="A32" s="4" t="s">
        <v>114</v>
      </c>
      <c r="B32" s="5" t="s">
        <v>139</v>
      </c>
      <c r="C32" s="5" t="str">
        <f t="shared" si="0"/>
        <v>国际西班牙
Quốc tế - Tây Ban Nha</v>
      </c>
      <c r="D32" s="9">
        <v>14</v>
      </c>
      <c r="E32" s="9">
        <v>28</v>
      </c>
      <c r="F32" s="9">
        <v>28</v>
      </c>
      <c r="G32" s="9">
        <v>70</v>
      </c>
      <c r="H32" s="4" t="s">
        <v>10</v>
      </c>
      <c r="I32" s="4"/>
      <c r="K32" s="28" t="s">
        <v>35</v>
      </c>
      <c r="L32" s="33" t="s">
        <v>110</v>
      </c>
    </row>
    <row r="33" spans="1:12" ht="68" customHeight="1">
      <c r="A33" s="4" t="s">
        <v>114</v>
      </c>
      <c r="B33" s="5" t="s">
        <v>140</v>
      </c>
      <c r="C33" s="5" t="str">
        <f t="shared" si="0"/>
        <v>国际卢森堡
Quốc tế - Luxembourg</v>
      </c>
      <c r="D33" s="9">
        <v>14</v>
      </c>
      <c r="E33" s="9">
        <v>28</v>
      </c>
      <c r="F33" s="9">
        <v>28</v>
      </c>
      <c r="G33" s="9">
        <v>70</v>
      </c>
      <c r="H33" s="4" t="s">
        <v>10</v>
      </c>
      <c r="I33" s="4"/>
      <c r="K33" s="28" t="s">
        <v>36</v>
      </c>
      <c r="L33" s="33" t="s">
        <v>110</v>
      </c>
    </row>
    <row r="34" spans="1:12" ht="68" customHeight="1">
      <c r="A34" s="4" t="s">
        <v>114</v>
      </c>
      <c r="B34" s="5" t="s">
        <v>141</v>
      </c>
      <c r="C34" s="5" t="str">
        <f t="shared" si="0"/>
        <v>国际爱尔兰
Quốc tế - Ai-len</v>
      </c>
      <c r="D34" s="9">
        <v>14</v>
      </c>
      <c r="E34" s="9">
        <v>28</v>
      </c>
      <c r="F34" s="9">
        <v>28</v>
      </c>
      <c r="G34" s="9">
        <v>70</v>
      </c>
      <c r="H34" s="4" t="s">
        <v>10</v>
      </c>
      <c r="I34" s="4"/>
      <c r="K34" s="28" t="s">
        <v>37</v>
      </c>
      <c r="L34" s="33" t="s">
        <v>110</v>
      </c>
    </row>
    <row r="35" spans="1:12" ht="68" customHeight="1">
      <c r="A35" s="4" t="s">
        <v>114</v>
      </c>
      <c r="B35" s="5" t="s">
        <v>142</v>
      </c>
      <c r="C35" s="5" t="str">
        <f t="shared" ref="C35:C51" si="1">LEFT(A35,FIND(CHAR(10),A35&amp;CHAR(10))-1)&amp;LEFT(B35,FIND(CHAR(10),B35&amp;CHAR(10))-1)&amp;CHAR(10)&amp;MID(A35,FIND(CHAR(10),A35&amp;CHAR(10))+1,999)&amp;" - "&amp;MID(B35,FIND(CHAR(10),B35&amp;CHAR(10))+1,999)</f>
        <v>国际葡萄牙
Quốc tế - Bồ Đào Nha</v>
      </c>
      <c r="D35" s="9">
        <v>14</v>
      </c>
      <c r="E35" s="9">
        <v>28</v>
      </c>
      <c r="F35" s="9">
        <v>28</v>
      </c>
      <c r="G35" s="9">
        <v>70</v>
      </c>
      <c r="H35" s="4" t="s">
        <v>10</v>
      </c>
      <c r="I35" s="4"/>
      <c r="K35" s="28" t="s">
        <v>38</v>
      </c>
      <c r="L35" s="33" t="s">
        <v>110</v>
      </c>
    </row>
    <row r="36" spans="1:12" ht="68" customHeight="1">
      <c r="A36" s="4" t="s">
        <v>114</v>
      </c>
      <c r="B36" s="5" t="s">
        <v>143</v>
      </c>
      <c r="C36" s="5" t="str">
        <f t="shared" si="1"/>
        <v>国际芬兰
Quốc tế - Phần Lan</v>
      </c>
      <c r="D36" s="9">
        <v>14</v>
      </c>
      <c r="E36" s="9">
        <v>28</v>
      </c>
      <c r="F36" s="9">
        <v>28</v>
      </c>
      <c r="G36" s="9">
        <v>70</v>
      </c>
      <c r="H36" s="4" t="s">
        <v>10</v>
      </c>
      <c r="I36" s="4"/>
      <c r="K36" s="28" t="s">
        <v>39</v>
      </c>
      <c r="L36" s="33" t="s">
        <v>110</v>
      </c>
    </row>
    <row r="37" spans="1:12" ht="68" customHeight="1">
      <c r="A37" s="4" t="s">
        <v>114</v>
      </c>
      <c r="B37" s="5" t="s">
        <v>144</v>
      </c>
      <c r="C37" s="5" t="str">
        <f t="shared" si="1"/>
        <v>国际英国
Quốc tế - Vương quốc Anh</v>
      </c>
      <c r="D37" s="9">
        <v>14</v>
      </c>
      <c r="E37" s="9">
        <v>28</v>
      </c>
      <c r="F37" s="9">
        <v>28</v>
      </c>
      <c r="G37" s="9">
        <v>70</v>
      </c>
      <c r="H37" s="4" t="s">
        <v>10</v>
      </c>
      <c r="I37" s="4"/>
      <c r="K37" t="s">
        <v>40</v>
      </c>
      <c r="L37" s="31" t="s">
        <v>110</v>
      </c>
    </row>
    <row r="38" spans="1:12" ht="68" customHeight="1">
      <c r="A38" s="4" t="s">
        <v>114</v>
      </c>
      <c r="B38" s="5" t="s">
        <v>145</v>
      </c>
      <c r="C38" s="5" t="str">
        <f t="shared" si="1"/>
        <v>国际瑞典
Quốc tế - Thụy Điển</v>
      </c>
      <c r="D38" s="9">
        <v>12</v>
      </c>
      <c r="E38" s="9">
        <v>24</v>
      </c>
      <c r="F38" s="9">
        <v>24</v>
      </c>
      <c r="G38" s="9">
        <v>60</v>
      </c>
      <c r="H38" s="4" t="s">
        <v>10</v>
      </c>
      <c r="I38" s="4"/>
      <c r="K38" t="s">
        <v>41</v>
      </c>
      <c r="L38" s="31" t="s">
        <v>110</v>
      </c>
    </row>
    <row r="39" spans="1:12" ht="68" customHeight="1">
      <c r="A39" s="4" t="s">
        <v>114</v>
      </c>
      <c r="B39" s="5" t="s">
        <v>146</v>
      </c>
      <c r="C39" s="5" t="str">
        <f t="shared" si="1"/>
        <v>国际丹麦
Quốc tế - Đan Mạch</v>
      </c>
      <c r="D39" s="9">
        <v>12</v>
      </c>
      <c r="E39" s="9">
        <v>24</v>
      </c>
      <c r="F39" s="9">
        <v>24</v>
      </c>
      <c r="G39" s="9">
        <v>60</v>
      </c>
      <c r="H39" s="4" t="s">
        <v>10</v>
      </c>
      <c r="I39" s="4"/>
      <c r="K39" t="s">
        <v>42</v>
      </c>
      <c r="L39" s="31" t="s">
        <v>110</v>
      </c>
    </row>
    <row r="40" spans="1:12" ht="68" customHeight="1">
      <c r="A40" s="4" t="s">
        <v>114</v>
      </c>
      <c r="B40" s="5" t="s">
        <v>147</v>
      </c>
      <c r="C40" s="5" t="str">
        <f t="shared" si="1"/>
        <v>国际挪威
Quốc tế - Na Uy</v>
      </c>
      <c r="D40" s="9">
        <v>12</v>
      </c>
      <c r="E40" s="9">
        <v>24</v>
      </c>
      <c r="F40" s="9">
        <v>24</v>
      </c>
      <c r="G40" s="9">
        <v>60</v>
      </c>
      <c r="H40" s="4" t="s">
        <v>10</v>
      </c>
      <c r="I40" s="4"/>
      <c r="K40" t="s">
        <v>43</v>
      </c>
      <c r="L40" s="31" t="s">
        <v>110</v>
      </c>
    </row>
    <row r="41" spans="1:12" ht="68" customHeight="1">
      <c r="A41" s="4" t="s">
        <v>114</v>
      </c>
      <c r="B41" s="5" t="s">
        <v>148</v>
      </c>
      <c r="C41" s="5" t="str">
        <f t="shared" si="1"/>
        <v>国际瑞士
Quốc tế - Thụy Sĩ</v>
      </c>
      <c r="D41" s="9">
        <v>12</v>
      </c>
      <c r="E41" s="9">
        <v>24</v>
      </c>
      <c r="F41" s="9">
        <v>24</v>
      </c>
      <c r="G41" s="9">
        <v>60</v>
      </c>
      <c r="H41" s="4" t="s">
        <v>10</v>
      </c>
      <c r="I41" s="4"/>
      <c r="K41" t="s">
        <v>44</v>
      </c>
      <c r="L41" s="31" t="s">
        <v>110</v>
      </c>
    </row>
    <row r="42" spans="1:12" ht="68" customHeight="1">
      <c r="A42" s="4" t="s">
        <v>114</v>
      </c>
      <c r="B42" s="5" t="s">
        <v>149</v>
      </c>
      <c r="C42" s="5" t="str">
        <f t="shared" si="1"/>
        <v>国际冰岛
Quốc tế - Iceland</v>
      </c>
      <c r="D42" s="9">
        <v>12</v>
      </c>
      <c r="E42" s="9">
        <v>24</v>
      </c>
      <c r="F42" s="9">
        <v>24</v>
      </c>
      <c r="G42" s="9">
        <v>60</v>
      </c>
      <c r="H42" s="4" t="s">
        <v>10</v>
      </c>
      <c r="I42" s="4"/>
      <c r="K42" t="s">
        <v>45</v>
      </c>
      <c r="L42" s="31" t="s">
        <v>110</v>
      </c>
    </row>
    <row r="43" spans="1:12" ht="68" customHeight="1">
      <c r="A43" s="4" t="s">
        <v>114</v>
      </c>
      <c r="B43" s="5" t="s">
        <v>150</v>
      </c>
      <c r="C43" s="5" t="str">
        <f t="shared" si="1"/>
        <v>国际其他欧洲国家
Quốc tế - Các quốc gia châu Âu khác</v>
      </c>
      <c r="D43" s="9">
        <v>10</v>
      </c>
      <c r="E43" s="9">
        <v>20</v>
      </c>
      <c r="F43" s="9">
        <v>20</v>
      </c>
      <c r="G43" s="9">
        <v>50</v>
      </c>
      <c r="H43" s="4" t="s">
        <v>10</v>
      </c>
      <c r="I43" s="4"/>
      <c r="K43" t="s">
        <v>46</v>
      </c>
      <c r="L43" s="31" t="s">
        <v>110</v>
      </c>
    </row>
    <row r="44" spans="1:12" ht="68" customHeight="1">
      <c r="A44" s="4" t="s">
        <v>114</v>
      </c>
      <c r="B44" s="5" t="s">
        <v>151</v>
      </c>
      <c r="C44" s="5" t="str">
        <f t="shared" si="1"/>
        <v>国际美国
Quốc tế - Hoa Kỳ</v>
      </c>
      <c r="D44" s="9">
        <v>14</v>
      </c>
      <c r="E44" s="9">
        <v>28</v>
      </c>
      <c r="F44" s="9">
        <v>28</v>
      </c>
      <c r="G44" s="9">
        <v>70</v>
      </c>
      <c r="H44" s="4" t="s">
        <v>10</v>
      </c>
      <c r="I44" s="4"/>
      <c r="K44" t="s">
        <v>47</v>
      </c>
      <c r="L44" s="31" t="s">
        <v>113</v>
      </c>
    </row>
    <row r="45" spans="1:12" ht="68" customHeight="1">
      <c r="A45" s="4" t="s">
        <v>114</v>
      </c>
      <c r="B45" s="5" t="s">
        <v>152</v>
      </c>
      <c r="C45" s="5" t="str">
        <f t="shared" si="1"/>
        <v>国际加拿大
Quốc tế - Canada</v>
      </c>
      <c r="D45" s="9">
        <v>12</v>
      </c>
      <c r="E45" s="9">
        <v>24</v>
      </c>
      <c r="F45" s="9">
        <v>24</v>
      </c>
      <c r="G45" s="9">
        <v>60</v>
      </c>
      <c r="H45" s="4" t="s">
        <v>10</v>
      </c>
      <c r="I45" s="4"/>
      <c r="K45" t="s">
        <v>48</v>
      </c>
      <c r="L45" s="31" t="s">
        <v>113</v>
      </c>
    </row>
    <row r="46" spans="1:12" ht="68" customHeight="1">
      <c r="A46" s="4" t="s">
        <v>114</v>
      </c>
      <c r="B46" s="5" t="s">
        <v>153</v>
      </c>
      <c r="C46" s="5" t="str">
        <f t="shared" si="1"/>
        <v>国际墨西哥
Quốc tế - Mexico</v>
      </c>
      <c r="D46" s="9">
        <v>12</v>
      </c>
      <c r="E46" s="9">
        <v>24</v>
      </c>
      <c r="F46" s="9">
        <v>24</v>
      </c>
      <c r="G46" s="9">
        <v>60</v>
      </c>
      <c r="H46" s="4" t="s">
        <v>10</v>
      </c>
      <c r="I46" s="4"/>
      <c r="K46" t="s">
        <v>49</v>
      </c>
      <c r="L46" s="31" t="s">
        <v>113</v>
      </c>
    </row>
    <row r="47" spans="1:12" ht="68" customHeight="1">
      <c r="A47" s="4" t="s">
        <v>114</v>
      </c>
      <c r="B47" s="5" t="s">
        <v>154</v>
      </c>
      <c r="C47" s="5" t="str">
        <f t="shared" si="1"/>
        <v>国际波多黎各
Quốc tế - Puerto Rico</v>
      </c>
      <c r="D47" s="9">
        <v>12</v>
      </c>
      <c r="E47" s="9">
        <v>24</v>
      </c>
      <c r="F47" s="9">
        <v>24</v>
      </c>
      <c r="G47" s="9">
        <v>60</v>
      </c>
      <c r="H47" s="4" t="s">
        <v>10</v>
      </c>
      <c r="I47" s="4"/>
      <c r="K47" t="s">
        <v>50</v>
      </c>
      <c r="L47" s="31" t="s">
        <v>113</v>
      </c>
    </row>
    <row r="48" spans="1:12" ht="68" customHeight="1">
      <c r="A48" s="4" t="s">
        <v>114</v>
      </c>
      <c r="B48" s="5" t="s">
        <v>155</v>
      </c>
      <c r="C48" s="5" t="str">
        <f t="shared" si="1"/>
        <v>国际多米尼加
Quốc tế - Cộng hòa Dominica</v>
      </c>
      <c r="D48" s="9">
        <v>12</v>
      </c>
      <c r="E48" s="9">
        <v>24</v>
      </c>
      <c r="F48" s="9">
        <v>24</v>
      </c>
      <c r="G48" s="9">
        <v>60</v>
      </c>
      <c r="H48" s="4" t="s">
        <v>10</v>
      </c>
      <c r="I48" s="4"/>
      <c r="K48" t="s">
        <v>51</v>
      </c>
      <c r="L48" s="31" t="s">
        <v>113</v>
      </c>
    </row>
    <row r="49" spans="1:12" ht="68" customHeight="1">
      <c r="A49" s="4" t="s">
        <v>114</v>
      </c>
      <c r="B49" s="5" t="s">
        <v>156</v>
      </c>
      <c r="C49" s="5" t="str">
        <f t="shared" si="1"/>
        <v>国际其他美洲国家
Quốc tế - Các quốc gia châu Mỹ khác</v>
      </c>
      <c r="D49" s="9">
        <v>10</v>
      </c>
      <c r="E49" s="9">
        <v>20</v>
      </c>
      <c r="F49" s="9">
        <v>20</v>
      </c>
      <c r="G49" s="9">
        <v>50</v>
      </c>
      <c r="H49" s="4" t="s">
        <v>10</v>
      </c>
      <c r="I49" s="4"/>
      <c r="K49" t="s">
        <v>52</v>
      </c>
      <c r="L49" s="31" t="s">
        <v>113</v>
      </c>
    </row>
    <row r="50" spans="1:12" ht="68" customHeight="1">
      <c r="A50" s="4" t="s">
        <v>114</v>
      </c>
      <c r="B50" s="5" t="s">
        <v>157</v>
      </c>
      <c r="C50" s="5" t="str">
        <f t="shared" si="1"/>
        <v>国际其他非洲国家
Quốc tế - Các quốc gia châu Phi khác</v>
      </c>
      <c r="D50" s="9">
        <v>10</v>
      </c>
      <c r="E50" s="9">
        <v>20</v>
      </c>
      <c r="F50" s="9">
        <v>20</v>
      </c>
      <c r="G50" s="9">
        <v>50</v>
      </c>
      <c r="H50" s="4" t="s">
        <v>10</v>
      </c>
      <c r="I50" s="4"/>
      <c r="K50" t="s">
        <v>53</v>
      </c>
      <c r="L50" s="31" t="s">
        <v>113</v>
      </c>
    </row>
    <row r="51" spans="1:12" ht="68" customHeight="1">
      <c r="A51" s="4" t="s">
        <v>114</v>
      </c>
      <c r="B51" s="5" t="s">
        <v>158</v>
      </c>
      <c r="C51" s="5" t="str">
        <f t="shared" si="1"/>
        <v>国际其他大洋洲国家
Quốc tế - Các quốc gia châu Đại Dương khác</v>
      </c>
      <c r="D51" s="9">
        <v>12</v>
      </c>
      <c r="E51" s="9">
        <v>24</v>
      </c>
      <c r="F51" s="9">
        <v>24</v>
      </c>
      <c r="G51" s="9">
        <v>60</v>
      </c>
      <c r="H51" s="4" t="s">
        <v>10</v>
      </c>
      <c r="I51" s="4"/>
      <c r="K51" t="s">
        <v>54</v>
      </c>
      <c r="L51" s="31" t="s">
        <v>113</v>
      </c>
    </row>
    <row r="52" spans="1:12" ht="84" customHeight="1">
      <c r="K52" s="31" t="s">
        <v>159</v>
      </c>
      <c r="L52" s="31" t="s">
        <v>113</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申请明细</vt:lpstr>
      <vt:lpstr>标准与参数</vt:lpstr>
      <vt:lpstr>申请明细!Print_Area</vt:lpstr>
      <vt:lpstr>标准表</vt:lpstr>
      <vt:lpstr>城市等级表</vt:lpstr>
      <vt:lpstr>国际地点</vt:lpstr>
      <vt:lpstr>国内地点</vt:lpstr>
      <vt:lpstr>十二小时</vt:lpstr>
      <vt:lpstr>十小时</vt:lpstr>
      <vt:lpstr>市内地点</vt:lpstr>
      <vt:lpstr>晚起始</vt:lpstr>
      <vt:lpstr>午起始</vt:lpstr>
      <vt:lpstr>早截止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误餐补贴申请明细表 v0.5.1</dc:title>
  <dc:creator>Balance</dc:creator>
  <cp:lastModifiedBy>Administrator</cp:lastModifiedBy>
  <cp:lastPrinted>2026-08-08T07:24:44Z</cp:lastPrinted>
  <dcterms:created xsi:type="dcterms:W3CDTF">2026-08-04T09:08:54Z</dcterms:created>
  <dcterms:modified xsi:type="dcterms:W3CDTF">2026-08-15T04:29:36Z</dcterms:modified>
</cp:coreProperties>
</file>